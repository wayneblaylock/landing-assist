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OM PCB" sheetId="1" state="visible" r:id="rId3"/>
    <sheet name="BOM Breadboard" sheetId="2" state="visible" r:id="rId4"/>
    <sheet name="Sheet1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<sst xmlns="http://schemas.openxmlformats.org/spreadsheetml/2006/main" count="130" uniqueCount="91">
  <si>
    <t xml:space="preserve">Category</t>
  </si>
  <si>
    <t xml:space="preserve">Manufacturer</t>
  </si>
  <si>
    <t xml:space="preserve">Part Number</t>
  </si>
  <si>
    <t xml:space="preserve">Description</t>
  </si>
  <si>
    <t xml:space="preserve">QTY</t>
  </si>
  <si>
    <t xml:space="preserve">Price</t>
  </si>
  <si>
    <t xml:space="preserve">Notes</t>
  </si>
  <si>
    <t xml:space="preserve">Source</t>
  </si>
  <si>
    <t xml:space="preserve">Connector</t>
  </si>
  <si>
    <t xml:space="preserve">JST</t>
  </si>
  <si>
    <t xml:space="preserve">SM08B-SURS-TF</t>
  </si>
  <si>
    <t xml:space="preserve">JST SUR 8 position right angle connector SMT</t>
  </si>
  <si>
    <t xml:space="preserve">May also use vertical version if desired(BM08B-SURS-TF)</t>
  </si>
  <si>
    <t xml:space="preserve">https://www.digikey.com/en/products/detail/jst-sales-america-inc/SM08B-SURS-TF/1634781</t>
  </si>
  <si>
    <t xml:space="preserve">Breakout</t>
  </si>
  <si>
    <t xml:space="preserve">Espressif Systems</t>
  </si>
  <si>
    <t xml:space="preserve">ESP32-S3-DEVKITC-1U-N8R8</t>
  </si>
  <si>
    <t xml:space="preserve">ESP32-S3 development board using ESP32-S3-WROOM-1U-N8R8; Wi-Fi + BLE</t>
  </si>
  <si>
    <t xml:space="preserve">Linked DigiKey board is the DevKitC; the module on it is ESP32-S3-WROOM-1U-N8R8.</t>
  </si>
  <si>
    <t xml:space="preserve">https://www.digikey.com/en/products/detail/espressif-systems/ESP32-S3-DEVKITC-1U-N8R8/16162636 </t>
  </si>
  <si>
    <t xml:space="preserve">Final</t>
  </si>
  <si>
    <t xml:space="preserve">TE Connectivity Measurement Specialties</t>
  </si>
  <si>
    <t xml:space="preserve">4525DO-DS5AI001DP</t>
  </si>
  <si>
    <t xml:space="preserve">1 psi differential pressure sensor, 14-bit, dual 0.14 in barbed ports</t>
  </si>
  <si>
    <t xml:space="preserve">This will be the final soldered part, but we can test using small clamps/leads to the through-hole pins .5 V supply; differential pressure; intended for pitot/static airspeed measurement.</t>
  </si>
  <si>
    <t xml:space="preserve">https://www.digikey.com/en/products/detail/te-connectivity-measurement-specialties/4525DO-DS5AI001DP/3569051 </t>
  </si>
  <si>
    <t xml:space="preserve">Bosch Sensortec</t>
  </si>
  <si>
    <t xml:space="preserve">828-SHUTTLEBOARD3.0BMI088-ND</t>
  </si>
  <si>
    <t xml:space="preserve">Breakout: 6-axis accelerometer + gyroscope IMU, I2C/SPI, 16-LGA</t>
  </si>
  <si>
    <t xml:space="preserve">Breakout version of the part to be used (BMI088)</t>
  </si>
  <si>
    <t xml:space="preserve">https://www.digikey.com/en/products/detail/bosch-sensortec/BMI088/8634936 </t>
  </si>
  <si>
    <t xml:space="preserve">LightWare LiDAR Inc.</t>
  </si>
  <si>
    <t xml:space="preserve">LW20/C</t>
  </si>
  <si>
    <t xml:space="preserve">100 m-class optical distance sensor, I2C / serial, 4.5-5.5 V</t>
  </si>
  <si>
    <t xml:space="preserve">Consider SF20/C instead, in stock at mouser</t>
  </si>
  <si>
    <t xml:space="preserve">https://www.digikey.com/en/products/detail/lightware-lidar-inc/LW20-C/15848653 </t>
  </si>
  <si>
    <t xml:space="preserve">Harness (Final)</t>
  </si>
  <si>
    <t xml:space="preserve">A08SUR08SUR32W102B</t>
  </si>
  <si>
    <t xml:space="preserve">JST SUR 8 pos cable 4” (PLEASE VERIFY IF WE NEED 1:1 or 1:N). I think 1:N is correct based on the provided </t>
  </si>
  <si>
    <t xml:space="preserve">https://www.digikey.com/en/products/detail/jst-sales-america-inc/A08SUR08SUR32W102B/9947457</t>
  </si>
  <si>
    <t xml:space="preserve">ACC_BOB_08SUR-32S</t>
  </si>
  <si>
    <t xml:space="preserve">MCU</t>
  </si>
  <si>
    <t xml:space="preserve">Airspeed</t>
  </si>
  <si>
    <t xml:space="preserve">5 V supply; differential pressure; intended for pitot/static airspeed measurement.</t>
  </si>
  <si>
    <t xml:space="preserve">IMU</t>
  </si>
  <si>
    <t xml:space="preserve">BMI088</t>
  </si>
  <si>
    <t xml:space="preserve">6-axis accelerometer + gyroscope IMU, I2C/SPI, 16-LGA</t>
  </si>
  <si>
    <t xml:space="preserve">Surface-mount part for final PCB; -40 C to +85 C operating range.</t>
  </si>
  <si>
    <t xml:space="preserve">LiDAR</t>
  </si>
  <si>
    <t xml:space="preserve">20 cm to 100 m sensing range; about 100 mA supply per DigiKey.</t>
  </si>
  <si>
    <t xml:space="preserve">Battery Option A</t>
  </si>
  <si>
    <t xml:space="preserve">Adafruit</t>
  </si>
  <si>
    <t xml:space="preserve">Product ID 1781</t>
  </si>
  <si>
    <t xml:space="preserve">3.7 V 2200 mAh protected lithium-ion cylindrical battery with JST-PH</t>
  </si>
  <si>
    <t xml:space="preserve">Lower-cost/lower-capacity battery option.</t>
  </si>
  <si>
    <t xml:space="preserve">https://www.adafruit.com/product/1781 </t>
  </si>
  <si>
    <t xml:space="preserve">Battery Option B</t>
  </si>
  <si>
    <t xml:space="preserve">Product ID 354</t>
  </si>
  <si>
    <t xml:space="preserve">3.7 V 4400 mAh protected lithium-ion battery pack with JST connector</t>
  </si>
  <si>
    <t xml:space="preserve">Higher-capacity option; larger/heavier than 2200 mAh pack.</t>
  </si>
  <si>
    <t xml:space="preserve">https://www.adafruit.com/product/354 </t>
  </si>
  <si>
    <t xml:space="preserve">Battery Charger Option A</t>
  </si>
  <si>
    <t xml:space="preserve">Microchip Technology</t>
  </si>
  <si>
    <t xml:space="preserve">MCP73831T-2ACI/OT</t>
  </si>
  <si>
    <t xml:space="preserve">Single-cell Li-Ion/Li-Poly charger IC, programmable charge current</t>
  </si>
  <si>
    <t xml:space="preserve">4.2 V single-cell charger; up to 500 mA charge current for this part.</t>
  </si>
  <si>
    <t xml:space="preserve">https://www.digikey.com/en/products/detail/microchip-technology/MCP73831T-2ACI-OT/964301 </t>
  </si>
  <si>
    <t xml:space="preserve">Battery Charger Option B</t>
  </si>
  <si>
    <t xml:space="preserve">Texas Instruments</t>
  </si>
  <si>
    <t xml:space="preserve">BQ21040DBVR</t>
  </si>
  <si>
    <t xml:space="preserve">Single-cell Li-Ion/Li-Poly charger IC, programmable charging</t>
  </si>
  <si>
    <t xml:space="preserve">4.2 V single-cell charger; 6.45 V max supply.</t>
  </si>
  <si>
    <t xml:space="preserve">https://www.digikey.com/en/products/detail/texas-instruments/BQ21040DBVR/6036340 </t>
  </si>
  <si>
    <t xml:space="preserve">5 V Boost Regulator</t>
  </si>
  <si>
    <t xml:space="preserve">LM27313XMF/NOPB</t>
  </si>
  <si>
    <t xml:space="preserve">Adjustable boost regulator, 5 V minimum output setting, 800 mA switch</t>
  </si>
  <si>
    <t xml:space="preserve">2.7-14 V input; use external inductor/diode/capacitors per datasheet.</t>
  </si>
  <si>
    <t xml:space="preserve">https://www.digikey.com/en/products/detail/texas-instruments/LM27313XMF-NOPB/1590046 </t>
  </si>
  <si>
    <t xml:space="preserve">3.3 V Regulator Option A</t>
  </si>
  <si>
    <t xml:space="preserve">Semtech Corporation</t>
  </si>
  <si>
    <t xml:space="preserve">SC189ZSKTRT</t>
  </si>
  <si>
    <t xml:space="preserve">3.3 V fixed buck regulator, 1.5 A</t>
  </si>
  <si>
    <t xml:space="preserve">2.9-5.5 V input. Check dropout/operation near a discharged 1-cell Li-ion battery.</t>
  </si>
  <si>
    <t xml:space="preserve">https://www.digikey.com/en/products/detail/semtech-corporation/SC189ZSKTRT/2182360 </t>
  </si>
  <si>
    <t xml:space="preserve">3.3 V Regulator Option B</t>
  </si>
  <si>
    <t xml:space="preserve">TPS62162DSGR</t>
  </si>
  <si>
    <t xml:space="preserve">3.3 V fixed buck regulator, 1 A</t>
  </si>
  <si>
    <t xml:space="preserve">3-17 V input. Check operation as battery approaches 3.3 V.</t>
  </si>
  <si>
    <t xml:space="preserve">https://www.digikey.com/en/products/detail/texas-instruments/TPS62162DSGR/2833447 </t>
  </si>
  <si>
    <t xml:space="preserve">Total (including alternative)</t>
  </si>
  <si>
    <t xml:space="preserve">Core total (ESP32 + airspeed + IMU + LiDAR + LiDAR connector + 2200mAh battery + MCP73831 + LM27313)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</si>
</sst>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_);[RED]&quot;($&quot;#,##0\)"/>
    <numFmt numFmtId="166" formatCode="\$#,##0.00_);[RED]&quot;($&quot;#,##0.00\)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m/en/products/detail/jst-sales-america-inc/SM08B-SURS-TF/1634781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igikey.com/en/products/detail/espressif-systems/ESP32-S3-DEVKITC-1U-N8R8/16162636" TargetMode="External"/><Relationship Id="rId2" Type="http://schemas.openxmlformats.org/officeDocument/2006/relationships/hyperlink" Target="https://www.digikey.com/en/products/detail/te-connectivity-measurement-specialties/4525DO-DS5AI001DP/3569051" TargetMode="External"/><Relationship Id="rId3" Type="http://schemas.openxmlformats.org/officeDocument/2006/relationships/hyperlink" Target="https://www.digikey.com/en/products/detail/bosch-sensortec/BMI088/8634936" TargetMode="External"/><Relationship Id="rId4" Type="http://schemas.openxmlformats.org/officeDocument/2006/relationships/hyperlink" Target="https://www.digikey.com/en/products/detail/lightware-lidar-inc/LW20-C/15848653" TargetMode="External"/><Relationship Id="rId5" Type="http://schemas.openxmlformats.org/officeDocument/2006/relationships/hyperlink" Target="https://www.digikey.com/en/products/detail/jst-sales-america-inc/A08SUR08SUR32W102B/9947457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igikey.com/en/products/detail/espressif-systems/ESP32-S3-DEVKITC-1U-N8R8/16162636" TargetMode="External"/><Relationship Id="rId2" Type="http://schemas.openxmlformats.org/officeDocument/2006/relationships/hyperlink" Target="https://www.digikey.com/en/products/detail/te-connectivity-measurement-specialties/4525DO-DS5AI001DP/3569051" TargetMode="External"/><Relationship Id="rId3" Type="http://schemas.openxmlformats.org/officeDocument/2006/relationships/hyperlink" Target="https://www.digikey.com/en/products/detail/bosch-sensortec/BMI088/8634936" TargetMode="External"/><Relationship Id="rId4" Type="http://schemas.openxmlformats.org/officeDocument/2006/relationships/hyperlink" Target="https://www.digikey.com/en/products/detail/lightware-lidar-inc/LW20-C/15848653" TargetMode="External"/><Relationship Id="rId5" Type="http://schemas.openxmlformats.org/officeDocument/2006/relationships/hyperlink" Target="https://www.adafruit.com/product/1781" TargetMode="External"/><Relationship Id="rId6" Type="http://schemas.openxmlformats.org/officeDocument/2006/relationships/hyperlink" Target="https://www.adafruit.com/product/354" TargetMode="External"/><Relationship Id="rId7" Type="http://schemas.openxmlformats.org/officeDocument/2006/relationships/hyperlink" Target="https://www.digikey.com/en/products/detail/microchip-technology/MCP73831T-2ACI-OT/964301" TargetMode="External"/><Relationship Id="rId8" Type="http://schemas.openxmlformats.org/officeDocument/2006/relationships/hyperlink" Target="https://www.digikey.com/en/products/detail/texas-instruments/BQ21040DBVR/6036340" TargetMode="External"/><Relationship Id="rId9" Type="http://schemas.openxmlformats.org/officeDocument/2006/relationships/hyperlink" Target="https://www.digikey.com/en/products/detail/texas-instruments/LM27313XMF-NOPB/1590046" TargetMode="External"/><Relationship Id="rId10" Type="http://schemas.openxmlformats.org/officeDocument/2006/relationships/hyperlink" Target="https://www.digikey.com/en/products/detail/semtech-corporation/SC189ZSKTRT/2182360" TargetMode="External"/><Relationship Id="rId11" Type="http://schemas.openxmlformats.org/officeDocument/2006/relationships/hyperlink" Target="https://www.digikey.com/en/products/detail/texas-instruments/TPS62162DSGR/283344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97" zoomScaleNormal="97" zoomScalePageLayoutView="100" workbookViewId="0">
      <selection pane="topLeft" activeCell="G6" activeCellId="0" sqref="G6"/>
    </sheetView>
  </sheetViews>
  <sheetFormatPr defaultColWidth="10.16015625" defaultRowHeight="12.8" zeroHeight="false" outlineLevelRow="0" outlineLevelCol="0"/>
  <cols>
    <col collapsed="false" customWidth="true" hidden="false" outlineLevel="0" max="2" min="2" style="0" width="20.56"/>
    <col collapsed="false" customWidth="true" hidden="false" outlineLevel="0" max="3" min="3" style="0" width="20.99"/>
    <col collapsed="false" customWidth="true" hidden="false" outlineLevel="0" max="4" min="4" style="0" width="37.33"/>
    <col collapsed="false" customWidth="true" hidden="false" outlineLevel="0" max="7" min="7" style="0" width="23.38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6" customFormat="false" ht="16.15" hidden="false" customHeight="false" outlineLevel="0" collapsed="false">
      <c r="A6" s="0" t="s">
        <v>8</v>
      </c>
      <c r="B6" s="0" t="s">
        <v>9</v>
      </c>
      <c r="C6" s="0" t="s">
        <v>10</v>
      </c>
      <c r="D6" s="0" t="s">
        <v>11</v>
      </c>
      <c r="E6" s="0" t="n">
        <v>1</v>
      </c>
      <c r="G6" s="0" t="s">
        <v>12</v>
      </c>
      <c r="H6" s="0" t="s">
        <v>13</v>
      </c>
    </row>
  </sheetData>
  <hyperlinks>
    <hyperlink ref="H6" r:id="rId1" display="https://www.digikey.com/en/products/detail/jst-sales-america-inc/SM08B-SURS-TF/1634781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97" zoomScaleNormal="97" zoomScalePageLayoutView="100" workbookViewId="0">
      <selection pane="topLeft" activeCell="D13" activeCellId="0" sqref="D13"/>
    </sheetView>
  </sheetViews>
  <sheetFormatPr defaultColWidth="10.16015625" defaultRowHeight="12.8" zeroHeight="false" outlineLevelRow="0" outlineLevelCol="0"/>
  <cols>
    <col collapsed="false" customWidth="true" hidden="false" outlineLevel="0" max="1" min="1" style="0" width="14.51"/>
    <col collapsed="false" customWidth="true" hidden="false" outlineLevel="0" max="2" min="2" style="0" width="22.67"/>
    <col collapsed="false" customWidth="true" hidden="false" outlineLevel="0" max="3" min="3" style="0" width="27.18"/>
    <col collapsed="false" customWidth="true" hidden="false" outlineLevel="0" max="4" min="4" style="0" width="25.21"/>
    <col collapsed="false" customWidth="true" hidden="false" outlineLevel="0" max="7" min="7" style="0" width="30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7.15" hidden="false" customHeight="false" outlineLevel="0" collapsed="false">
      <c r="A2" s="0" t="s">
        <v>14</v>
      </c>
      <c r="B2" s="0" t="s">
        <v>15</v>
      </c>
      <c r="C2" s="0" t="s">
        <v>16</v>
      </c>
      <c r="D2" s="0" t="s">
        <v>17</v>
      </c>
      <c r="E2" s="0" t="n">
        <v>1</v>
      </c>
      <c r="F2" s="1" t="n">
        <v>15</v>
      </c>
      <c r="G2" s="0" t="s">
        <v>18</v>
      </c>
      <c r="H2" s="2" t="s">
        <v>19</v>
      </c>
    </row>
    <row r="3" customFormat="false" ht="16.4" hidden="false" customHeight="false" outlineLevel="0" collapsed="false">
      <c r="A3" s="0" t="s">
        <v>20</v>
      </c>
      <c r="B3" s="0" t="s">
        <v>21</v>
      </c>
      <c r="C3" s="0" t="s">
        <v>22</v>
      </c>
      <c r="D3" s="0" t="s">
        <v>23</v>
      </c>
      <c r="E3" s="0" t="n">
        <v>1</v>
      </c>
      <c r="F3" s="3" t="n">
        <v>72.41</v>
      </c>
      <c r="G3" s="0" t="s">
        <v>24</v>
      </c>
      <c r="H3" s="2" t="s">
        <v>25</v>
      </c>
    </row>
    <row r="4" customFormat="false" ht="16.15" hidden="false" customHeight="false" outlineLevel="0" collapsed="false">
      <c r="A4" s="0" t="s">
        <v>14</v>
      </c>
      <c r="B4" s="0" t="s">
        <v>26</v>
      </c>
      <c r="C4" s="0" t="s">
        <v>27</v>
      </c>
      <c r="D4" s="0" t="s">
        <v>28</v>
      </c>
      <c r="E4" s="0" t="n">
        <v>1</v>
      </c>
      <c r="F4" s="3" t="n">
        <v>15.88</v>
      </c>
      <c r="G4" s="0" t="s">
        <v>29</v>
      </c>
      <c r="H4" s="2" t="s">
        <v>30</v>
      </c>
    </row>
    <row r="5" customFormat="false" ht="16.15" hidden="false" customHeight="false" outlineLevel="0" collapsed="false">
      <c r="A5" s="0" t="s">
        <v>20</v>
      </c>
      <c r="B5" s="0" t="s">
        <v>31</v>
      </c>
      <c r="C5" s="0" t="s">
        <v>32</v>
      </c>
      <c r="D5" s="0" t="s">
        <v>33</v>
      </c>
      <c r="E5" s="0" t="n">
        <v>1</v>
      </c>
      <c r="F5" s="3" t="n">
        <v>299.3</v>
      </c>
      <c r="G5" s="0" t="s">
        <v>34</v>
      </c>
      <c r="H5" s="2" t="s">
        <v>35</v>
      </c>
    </row>
    <row r="6" customFormat="false" ht="16.15" hidden="false" customHeight="false" outlineLevel="0" collapsed="false">
      <c r="A6" s="0" t="s">
        <v>36</v>
      </c>
      <c r="B6" s="0" t="s">
        <v>9</v>
      </c>
      <c r="C6" s="0" t="s">
        <v>37</v>
      </c>
      <c r="D6" s="0" t="s">
        <v>38</v>
      </c>
      <c r="H6" s="0" t="s">
        <v>39</v>
      </c>
    </row>
    <row r="7" customFormat="false" ht="16.15" hidden="false" customHeight="false" outlineLevel="0" collapsed="false">
      <c r="A7" s="0" t="s">
        <v>14</v>
      </c>
      <c r="B7" s="0" t="s">
        <v>31</v>
      </c>
      <c r="C7" s="4" t="s">
        <v>40</v>
      </c>
    </row>
  </sheetData>
  <hyperlinks>
    <hyperlink ref="H2" r:id="rId1" display="https://www.digikey.com/en/products/detail/espressif-systems/ESP32-S3-DEVKITC-1U-N8R8/16162636 "/>
    <hyperlink ref="H3" r:id="rId2" display="https://www.digikey.com/en/products/detail/te-connectivity-measurement-specialties/4525DO-DS5AI001DP/3569051 "/>
    <hyperlink ref="H4" r:id="rId3" display="https://www.digikey.com/en/products/detail/bosch-sensortec/BMI088/8634936 "/>
    <hyperlink ref="H5" r:id="rId4" display="https://www.digikey.com/en/products/detail/lightware-lidar-inc/LW20-C/15848653 "/>
    <hyperlink ref="H6" r:id="rId5" display="https://www.digikey.com/en/products/detail/jst-sales-america-inc/A08SUR08SUR32W102B/9947457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97" zoomScaleNormal="97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71"/>
    <col collapsed="false" customWidth="true" hidden="false" outlineLevel="0" max="2" min="2" style="0" width="36.57"/>
    <col collapsed="false" customWidth="true" hidden="false" outlineLevel="0" max="3" min="3" style="0" width="24.86"/>
    <col collapsed="false" customWidth="true" hidden="false" outlineLevel="0" max="4" min="4" style="0" width="67"/>
    <col collapsed="false" customWidth="true" hidden="false" outlineLevel="0" max="5" min="5" style="0" width="9.14"/>
    <col collapsed="false" customWidth="true" hidden="false" outlineLevel="0" max="7" min="7" style="0" width="75.43"/>
    <col collapsed="false" customWidth="true" hidden="false" outlineLevel="0" max="8" min="8" style="0" width="71.8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8.75" hidden="false" customHeight="true" outlineLevel="0" collapsed="false">
      <c r="A2" s="0" t="s">
        <v>41</v>
      </c>
      <c r="B2" s="0" t="s">
        <v>15</v>
      </c>
      <c r="C2" s="0" t="s">
        <v>16</v>
      </c>
      <c r="D2" s="0" t="s">
        <v>17</v>
      </c>
      <c r="E2" s="0" t="n">
        <v>1</v>
      </c>
      <c r="F2" s="1" t="n">
        <v>15</v>
      </c>
      <c r="G2" s="5" t="s">
        <v>18</v>
      </c>
      <c r="H2" s="2" t="s">
        <v>19</v>
      </c>
    </row>
    <row r="3" customFormat="false" ht="16.4" hidden="false" customHeight="false" outlineLevel="0" collapsed="false">
      <c r="A3" s="0" t="s">
        <v>42</v>
      </c>
      <c r="B3" s="0" t="s">
        <v>21</v>
      </c>
      <c r="C3" s="0" t="s">
        <v>22</v>
      </c>
      <c r="D3" s="0" t="s">
        <v>23</v>
      </c>
      <c r="E3" s="0" t="n">
        <v>1</v>
      </c>
      <c r="F3" s="3" t="n">
        <v>72.41</v>
      </c>
      <c r="G3" s="5" t="s">
        <v>43</v>
      </c>
      <c r="H3" s="2" t="s">
        <v>25</v>
      </c>
    </row>
    <row r="4" customFormat="false" ht="16.4" hidden="false" customHeight="false" outlineLevel="0" collapsed="false">
      <c r="A4" s="0" t="s">
        <v>44</v>
      </c>
      <c r="B4" s="0" t="s">
        <v>26</v>
      </c>
      <c r="C4" s="0" t="s">
        <v>45</v>
      </c>
      <c r="D4" s="0" t="s">
        <v>46</v>
      </c>
      <c r="E4" s="0" t="n">
        <v>1</v>
      </c>
      <c r="F4" s="3" t="n">
        <v>5.92</v>
      </c>
      <c r="G4" s="5" t="s">
        <v>47</v>
      </c>
      <c r="H4" s="2" t="s">
        <v>30</v>
      </c>
    </row>
    <row r="5" customFormat="false" ht="16.4" hidden="false" customHeight="false" outlineLevel="0" collapsed="false">
      <c r="A5" s="0" t="s">
        <v>48</v>
      </c>
      <c r="B5" s="0" t="s">
        <v>31</v>
      </c>
      <c r="C5" s="0" t="s">
        <v>32</v>
      </c>
      <c r="D5" s="0" t="s">
        <v>33</v>
      </c>
      <c r="E5" s="0" t="n">
        <v>1</v>
      </c>
      <c r="F5" s="3" t="n">
        <v>299.3</v>
      </c>
      <c r="G5" s="5" t="s">
        <v>49</v>
      </c>
      <c r="H5" s="2" t="s">
        <v>35</v>
      </c>
    </row>
    <row r="6" customFormat="false" ht="16.5" hidden="false" customHeight="true" outlineLevel="0" collapsed="false">
      <c r="A6" s="0" t="s">
        <v>50</v>
      </c>
      <c r="B6" s="0" t="s">
        <v>51</v>
      </c>
      <c r="C6" s="0" t="s">
        <v>52</v>
      </c>
      <c r="D6" s="0" t="s">
        <v>53</v>
      </c>
      <c r="E6" s="0" t="n">
        <v>1</v>
      </c>
      <c r="F6" s="3" t="n">
        <v>9.95</v>
      </c>
      <c r="G6" s="5" t="s">
        <v>54</v>
      </c>
      <c r="H6" s="2" t="s">
        <v>55</v>
      </c>
    </row>
    <row r="7" customFormat="false" ht="16.4" hidden="false" customHeight="false" outlineLevel="0" collapsed="false">
      <c r="A7" s="0" t="s">
        <v>56</v>
      </c>
      <c r="B7" s="0" t="s">
        <v>51</v>
      </c>
      <c r="C7" s="0" t="s">
        <v>57</v>
      </c>
      <c r="D7" s="0" t="s">
        <v>58</v>
      </c>
      <c r="E7" s="0" t="n">
        <v>1</v>
      </c>
      <c r="F7" s="3" t="n">
        <v>19.95</v>
      </c>
      <c r="G7" s="5" t="s">
        <v>59</v>
      </c>
      <c r="H7" s="2" t="s">
        <v>60</v>
      </c>
    </row>
    <row r="8" customFormat="false" ht="16.4" hidden="false" customHeight="false" outlineLevel="0" collapsed="false">
      <c r="A8" s="0" t="s">
        <v>61</v>
      </c>
      <c r="B8" s="0" t="s">
        <v>62</v>
      </c>
      <c r="C8" s="0" t="s">
        <v>63</v>
      </c>
      <c r="D8" s="0" t="s">
        <v>64</v>
      </c>
      <c r="E8" s="0" t="n">
        <v>1</v>
      </c>
      <c r="F8" s="3" t="n">
        <v>0.76</v>
      </c>
      <c r="G8" s="5" t="s">
        <v>65</v>
      </c>
      <c r="H8" s="2" t="s">
        <v>66</v>
      </c>
    </row>
    <row r="9" customFormat="false" ht="16.4" hidden="false" customHeight="false" outlineLevel="0" collapsed="false">
      <c r="A9" s="0" t="s">
        <v>67</v>
      </c>
      <c r="B9" s="0" t="s">
        <v>68</v>
      </c>
      <c r="C9" s="0" t="s">
        <v>69</v>
      </c>
      <c r="D9" s="0" t="s">
        <v>70</v>
      </c>
      <c r="E9" s="0" t="n">
        <v>1</v>
      </c>
      <c r="F9" s="3" t="n">
        <v>0.99</v>
      </c>
      <c r="G9" s="5" t="s">
        <v>71</v>
      </c>
      <c r="H9" s="2" t="s">
        <v>72</v>
      </c>
    </row>
    <row r="10" customFormat="false" ht="16.4" hidden="false" customHeight="false" outlineLevel="0" collapsed="false">
      <c r="A10" s="0" t="s">
        <v>73</v>
      </c>
      <c r="B10" s="0" t="s">
        <v>68</v>
      </c>
      <c r="C10" s="0" t="s">
        <v>74</v>
      </c>
      <c r="D10" s="0" t="s">
        <v>75</v>
      </c>
      <c r="E10" s="0" t="n">
        <v>1</v>
      </c>
      <c r="F10" s="3" t="n">
        <v>2.42</v>
      </c>
      <c r="G10" s="5" t="s">
        <v>76</v>
      </c>
      <c r="H10" s="2" t="s">
        <v>77</v>
      </c>
    </row>
    <row r="11" customFormat="false" ht="16.4" hidden="false" customHeight="false" outlineLevel="0" collapsed="false">
      <c r="A11" s="0" t="s">
        <v>78</v>
      </c>
      <c r="B11" s="0" t="s">
        <v>79</v>
      </c>
      <c r="C11" s="0" t="s">
        <v>80</v>
      </c>
      <c r="D11" s="0" t="s">
        <v>81</v>
      </c>
      <c r="E11" s="0" t="n">
        <v>1</v>
      </c>
      <c r="F11" s="3" t="n">
        <v>1.07</v>
      </c>
      <c r="G11" s="5" t="s">
        <v>82</v>
      </c>
      <c r="H11" s="2" t="s">
        <v>83</v>
      </c>
    </row>
    <row r="12" customFormat="false" ht="16.4" hidden="false" customHeight="false" outlineLevel="0" collapsed="false">
      <c r="A12" s="0" t="s">
        <v>84</v>
      </c>
      <c r="B12" s="0" t="s">
        <v>68</v>
      </c>
      <c r="C12" s="0" t="s">
        <v>85</v>
      </c>
      <c r="D12" s="0" t="s">
        <v>86</v>
      </c>
      <c r="E12" s="0" t="n">
        <v>1</v>
      </c>
      <c r="F12" s="3" t="n">
        <v>1.86</v>
      </c>
      <c r="G12" s="5" t="s">
        <v>87</v>
      </c>
      <c r="H12" s="2" t="s">
        <v>88</v>
      </c>
    </row>
    <row r="13" customFormat="false" ht="15" hidden="false" customHeight="false" outlineLevel="0" collapsed="false">
      <c r="F13" s="1"/>
    </row>
    <row r="14" customFormat="false" ht="15" hidden="false" customHeight="false" outlineLevel="0" collapsed="false">
      <c r="A14" s="0" t="s">
        <v>89</v>
      </c>
      <c r="B14" s="1" t="n">
        <f aca="false">SUM(F2:F12)</f>
        <v>429.63</v>
      </c>
    </row>
    <row r="15" customFormat="false" ht="15" hidden="false" customHeight="false" outlineLevel="0" collapsed="false">
      <c r="A15" s="0" t="s">
        <v>90</v>
      </c>
      <c r="D15" s="3" t="n">
        <f aca="false">F2+F3+F4+F5+F6+F8+F10</f>
        <v>405.76</v>
      </c>
    </row>
  </sheetData>
  <hyperlinks>
    <hyperlink ref="H2" r:id="rId1" display="https://www.digikey.com/en/products/detail/espressif-systems/ESP32-S3-DEVKITC-1U-N8R8/16162636 "/>
    <hyperlink ref="H3" r:id="rId2" display="https://www.digikey.com/en/products/detail/te-connectivity-measurement-specialties/4525DO-DS5AI001DP/3569051 "/>
    <hyperlink ref="H4" r:id="rId3" display="https://www.digikey.com/en/products/detail/bosch-sensortec/BMI088/8634936 "/>
    <hyperlink ref="H5" r:id="rId4" display="https://www.digikey.com/en/products/detail/lightware-lidar-inc/LW20-C/15848653 "/>
    <hyperlink ref="H6" r:id="rId5" display="https://www.adafruit.com/product/1781 "/>
    <hyperlink ref="H7" r:id="rId6" display="https://www.adafruit.com/product/354 "/>
    <hyperlink ref="H8" r:id="rId7" display="https://www.digikey.com/en/products/detail/microchip-technology/MCP73831T-2ACI-OT/964301 "/>
    <hyperlink ref="H9" r:id="rId8" display="https://www.digikey.com/en/products/detail/texas-instruments/BQ21040DBVR/6036340 "/>
    <hyperlink ref="H10" r:id="rId9" display="https://www.digikey.com/en/products/detail/texas-instruments/LM27313XMF-NOPB/1590046 "/>
    <hyperlink ref="H11" r:id="rId10" display="https://www.digikey.com/en/products/detail/semtech-corporation/SC189ZSKTRT/2182360 "/>
    <hyperlink ref="H12" r:id="rId11" display="https://www.digikey.com/en/products/detail/texas-instruments/TPS62162DSGR/2833447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eb6c2b-5dd7-4c52-a9ab-cef265d63bb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007DD11C948240B9D9E469636A45E7" ma:contentTypeVersion="12" ma:contentTypeDescription="Create a new document." ma:contentTypeScope="" ma:versionID="adb94aa53ce42a9ee25a79e9bd7f5564">
  <xsd:schema xmlns:xsd="http://www.w3.org/2001/XMLSchema" xmlns:xs="http://www.w3.org/2001/XMLSchema" xmlns:p="http://schemas.microsoft.com/office/2006/metadata/properties" xmlns:ns3="b2eb6c2b-5dd7-4c52-a9ab-cef265d63bb0" targetNamespace="http://schemas.microsoft.com/office/2006/metadata/properties" ma:root="true" ma:fieldsID="519703f83fba68c018b989f7174904aa" ns3:_="">
    <xsd:import namespace="b2eb6c2b-5dd7-4c52-a9ab-cef265d63b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b6c2b-5dd7-4c52-a9ab-cef265d63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B19CFE-1C79-4E41-AC76-BFBC8D22DB9F}"/>
</file>

<file path=customXml/itemProps2.xml><?xml version="1.0" encoding="utf-8"?>
<ds:datastoreItem xmlns:ds="http://schemas.openxmlformats.org/officeDocument/2006/customXml" ds:itemID="{9EDA2B66-E37A-4C8B-8E41-1863D8307170}"/>
</file>

<file path=customXml/itemProps3.xml><?xml version="1.0" encoding="utf-8"?>
<ds:datastoreItem xmlns:ds="http://schemas.openxmlformats.org/officeDocument/2006/customXml" ds:itemID="{4FF14BDD-E644-4BF6-9489-8E70BD1B7BB6}"/>
</file>

<file path=docMetadata/LabelInfo.xml><?xml version="1.0" encoding="utf-8"?>
<clbl:labelList xmlns:clbl="http://schemas.microsoft.com/office/2020/mipLabelMetadata">
  <clbl:label id="{1ea2b65f-2f5e-440e-b025-dfdfafd8e097}" enabled="0" method="" siteId="{1ea2b65f-2f5e-440e-b025-dfdfafd8e0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2026-09-07T14:38:13Z</dcterms:created>
  <dc:creator>Christian Morell</dc:creator>
  <dc:description/>
  <dc:language>en-US</dc:language>
  <cp:lastModifiedBy/>
  <dcterms:modified xsi:type="dcterms:W3CDTF">2026-09-21T11:04:05Z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0x010100B5007DD11C948240B9D9E469636A45E7</vt:lpwstr>
  </property>
</Properties>
</file>