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xr:revisionPtr revIDLastSave="130" documentId="11_6D443946CB466D3FA1D8606C43AF95D9E1D74C12" xr6:coauthVersionLast="47" xr6:coauthVersionMax="47" xr10:uidLastSave="{F2B0DC08-5F8A-4BE6-8DF4-0103311BC6DD}"/>
  <bookViews>
    <workbookView xWindow="0" yWindow="0" windowWidth="16384" windowHeight="8192" tabRatio="500" xr2:uid="{00000000-000D-0000-FFFF-FFFF00000000}"/>
  </bookViews>
  <sheets>
    <sheet name="BOM Final" sheetId="1" r:id="rId1"/>
    <sheet name="BOM PCB" sheetId="2" r:id="rId2"/>
    <sheet name="BOM Breadboard" sheetId="3" r:id="rId3"/>
    <sheet name="Sheet1" sheetId="4" r:id="rId4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9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" i="1"/>
  <c r="G4" i="1"/>
  <c r="G2" i="1"/>
  <c r="D15" i="4"/>
  <c r="B14" i="4"/>
</calcChain>
</file>

<file path=xl/sharedStrings.xml><?xml version="1.0" encoding="utf-8"?>
<sst xmlns="http://schemas.openxmlformats.org/spreadsheetml/2006/main" count="473" uniqueCount="209">
  <si>
    <t>Category</t>
  </si>
  <si>
    <t>Manufacturer</t>
  </si>
  <si>
    <t>Part Number</t>
  </si>
  <si>
    <t>Description</t>
  </si>
  <si>
    <t>QTY</t>
  </si>
  <si>
    <t>Unit Price</t>
  </si>
  <si>
    <t>Price Each</t>
  </si>
  <si>
    <t>Notes</t>
  </si>
  <si>
    <t>Source</t>
  </si>
  <si>
    <t>SMD</t>
  </si>
  <si>
    <t>Espressif Systems</t>
  </si>
  <si>
    <t>ESP32-S3-WROOM-1U-N16R8</t>
  </si>
  <si>
    <t>Bluetooth, WiFi 802.11b/g/n, Bluetooth v5.0 Transceiver Module 2.4GHz Antenna Not Included, U.FL Surface Mount</t>
  </si>
  <si>
    <t>https://www.digikey.com/en/products/detail/espressif-systems/ESP32-S3-WROOM-1U-N8R8/16162638</t>
  </si>
  <si>
    <t>Bosch Sensortec</t>
  </si>
  <si>
    <t>BMI088</t>
  </si>
  <si>
    <t>ACCELEROMETER 16LGA</t>
  </si>
  <si>
    <t>OUT OF STOCK,</t>
  </si>
  <si>
    <t>https://www.digikey.com/en/products/detail/bosch-sensortec/BMI088/8634936</t>
  </si>
  <si>
    <t>Texas Instruments</t>
  </si>
  <si>
    <t>TPS22919DCKR</t>
  </si>
  <si>
    <t>Load Sw</t>
  </si>
  <si>
    <t>Cut tape</t>
  </si>
  <si>
    <t>https://www.digikey.com/en/products/detail/texas-instruments/TPS22919DCKR/10434801</t>
  </si>
  <si>
    <t>Connector</t>
  </si>
  <si>
    <t>Amphenol ICC (FCI)</t>
  </si>
  <si>
    <t>10176546-00011LF</t>
  </si>
  <si>
    <t>USB-C (USB TYPE-C) Receptacle Connector 24 (16+8 Dummy) Position Through Hole, Right Angle</t>
  </si>
  <si>
    <t>https://www.digikey.com/en/products/detail/amphenol-cs-fci/10176546-00011LF/26473252</t>
  </si>
  <si>
    <t>JST</t>
  </si>
  <si>
    <t>SM08B-SURS-TF</t>
  </si>
  <si>
    <t>JST SUR 8 position right angle connector SMT</t>
  </si>
  <si>
    <t>For Lidar May also use vertical version if desired(BM08B-SURS-TF)</t>
  </si>
  <si>
    <t>https://www.digikey.com/en/products/detail/jst-sales-america-inc/SM08B-SURS-TF/1634781</t>
  </si>
  <si>
    <t>Microchip Technology</t>
  </si>
  <si>
    <t>MCP73831T-2ACI/OT</t>
  </si>
  <si>
    <t xml:space="preserve">Lion CCCV Charger </t>
  </si>
  <si>
    <t>https://www.digikey.com/en/products/detail/microchip-technology/MCP73831T-2ACI-OT/964301</t>
  </si>
  <si>
    <t>LM27313XMF/NOPB</t>
  </si>
  <si>
    <t>IC REG BOOST ADJ 800MA SOT23-5</t>
  </si>
  <si>
    <t>https://www.digikey.com/en/products/detail/texas-instruments/LM27313XMF-NOPB/1590046</t>
  </si>
  <si>
    <t>TPS62162DSGR</t>
  </si>
  <si>
    <t>IC REG BUCK 3.3V 1A 8WSON</t>
  </si>
  <si>
    <t>https://www.digikey.com/en/products/detail/texas-instruments/TPS62162DSGR/2833447</t>
  </si>
  <si>
    <t>S2B-PH-K-S</t>
  </si>
  <si>
    <t>JST-PH 2 pos</t>
  </si>
  <si>
    <t>for battery connection</t>
  </si>
  <si>
    <t>https://www.digikey.com/en/products/detail/jst-sales-america-inc/S2B-PH-K-S/926626</t>
  </si>
  <si>
    <t>Passives</t>
  </si>
  <si>
    <t>onsemi</t>
  </si>
  <si>
    <t>MBR0520LT3G</t>
  </si>
  <si>
    <t>DIODE SCHOTTKY 20V 500MA SOD123</t>
  </si>
  <si>
    <t>https://www.digikey.com/en/products/detail/onsemi/MBR0520LT3G/1477142</t>
  </si>
  <si>
    <t>Murata Electronics</t>
  </si>
  <si>
    <t>GRM033R61A104ME15D</t>
  </si>
  <si>
    <t>CAP CER 0.1UF 10V X5R 0201</t>
  </si>
  <si>
    <t>https://www.digikey.com/en/products/detail/murata-electronics/GRM033R61A104ME15D/2175191</t>
  </si>
  <si>
    <t>GRT188R61C106KE13D</t>
  </si>
  <si>
    <t>CAP CER 10UF 16V X5R 0603</t>
  </si>
  <si>
    <t>https://www.digikey.com/en/products/detail/murata-electronics/GRT188R61C106KE13D/5416739</t>
  </si>
  <si>
    <t>GCM188R71E105KA64D</t>
  </si>
  <si>
    <t>CAP CER 1UF 25V X7R 0603</t>
  </si>
  <si>
    <t>https://www.digikey.com/en/products/detail/murata-electronics/GCM188R71E105KA64D/4903956</t>
  </si>
  <si>
    <t>GRM188R61E475KE11D</t>
  </si>
  <si>
    <t>4.7 µF ±10% 25V Ceramic Capacitor X5R 0603 (1608 Metric)</t>
  </si>
  <si>
    <t>https://www.digikey.com/en/products/detail/murata-electronics/GRM188R61E475KE11D/3900465</t>
  </si>
  <si>
    <t>LED, THT, 5mm</t>
  </si>
  <si>
    <t>do not purchase</t>
  </si>
  <si>
    <t>TDK</t>
  </si>
  <si>
    <t>VLS6045EX-100M</t>
  </si>
  <si>
    <t>FIXED IND 10UH 3.4A 47 MOHM SMD</t>
  </si>
  <si>
    <t>cut tape</t>
  </si>
  <si>
    <t>https://www.digikey.com/en/products/detail/tdk/VLS6045EX-100M/5057822</t>
  </si>
  <si>
    <t>VLS252012ET-2R2M</t>
  </si>
  <si>
    <t>FIXED IND 2.2UH 1.3A 154 MOHM</t>
  </si>
  <si>
    <t>https://www.digikey.com/en/products/detail/tdk/VLS252012ET-2R2M/2465978</t>
  </si>
  <si>
    <t>YAGEO</t>
  </si>
  <si>
    <t>RC0402FR-0710KL</t>
  </si>
  <si>
    <t>10 kOhms ±1% 0.063W, 1/16W Chip Resistor 0402 (1005 Metric) Moisture Resistant Thick Film</t>
  </si>
  <si>
    <t>https://www.digikey.com/en/products/detail/yageo/RC0402FR-0710KL/726523</t>
  </si>
  <si>
    <t>RC0402FR-071KL</t>
  </si>
  <si>
    <t>1 kOhms ±1% 0.063W, 1/16W Chip Resistor 0402 (1005 Metric) Moisture Resistant Thick Film</t>
  </si>
  <si>
    <t>https://www.digikey.com/en/products/detail/yageo/RC0402FR-071KL/726513</t>
  </si>
  <si>
    <t>RC0402JR-074K7L</t>
  </si>
  <si>
    <t>RES 4.7K OHM 5% 1/16W 0402</t>
  </si>
  <si>
    <t>https://www.digikey.com/en/products/detail/yageo/RC0402JR-074K7L/726477</t>
  </si>
  <si>
    <t>RC0402FR-075K1L</t>
  </si>
  <si>
    <t>5.1 kOhms ±1% 0.063W, 1/16W Chip Resistor 0402 (1005 Metric) Moisture Resistant Thick Film</t>
  </si>
  <si>
    <t>https://www.digikey.com/en/products/detail/yageo/RC0402FR-075K1L/726624</t>
  </si>
  <si>
    <t>AC0402FR-07309KL</t>
  </si>
  <si>
    <t>309 kOhms ±1% 0.063W, 1/16W Chip Resistor 0402 (1005 Metric) Automotive AEC-Q200, Moisture Resistant Thick Film</t>
  </si>
  <si>
    <t>https://www.digikey.com/en/products/detail/yageo/AC0402FR-07309KL/5895272</t>
  </si>
  <si>
    <t>RC0402FR-07100KL</t>
  </si>
  <si>
    <t>RES 100K OHM 1% 1/16W 0402</t>
  </si>
  <si>
    <t>https://www.digikey.com/en/products/detail/yageo/RC0402FR-07100KL/726526</t>
  </si>
  <si>
    <t>C&amp;K</t>
  </si>
  <si>
    <t>PTS645SH43SMTR92 LFS</t>
  </si>
  <si>
    <t>SWITCH TACTILE SPST-NO 0.05A 12V</t>
  </si>
  <si>
    <t>https://www.digikey.com/en/products/detail/c-k/PTS645SH43SMTR92-LFS/1145472</t>
  </si>
  <si>
    <t>Breakout</t>
  </si>
  <si>
    <t>ESP32-S3-DEVKITC-1U-N8R8</t>
  </si>
  <si>
    <t>ESP32-S3 development board using ESP32-S3-WROOM-1U-N8R8; Wi-Fi + BLE</t>
  </si>
  <si>
    <t>the module on it is ESP32-S3-WROOM-1U-N8R8.</t>
  </si>
  <si>
    <t>https://www.mouser.com/en/ProductDetail/Espressif-Systems/ESP32-S3-DevKitC-1U-N8R8?qs=Li%252BoUPsLEnv4qqHEsdK%252Bbw%3D%3D</t>
  </si>
  <si>
    <t>Final</t>
  </si>
  <si>
    <t>TE Connectivity Measurement Specialties</t>
  </si>
  <si>
    <t>4525DO-DS5AI001DP</t>
  </si>
  <si>
    <t>1 psi differential pressure sensor, 14-bit, dual 0.14 in barbed ports</t>
  </si>
  <si>
    <t>This will be the final soldered part, but we can test using small clamps/leads to the through-hole pins .5 V supply; differential pressure; intended for pitot/static airspeed measurement.</t>
  </si>
  <si>
    <t xml:space="preserve">https://www.digikey.com/en/products/detail/te-connectivity-measurement-specialties/4525DO-DS5AI001DP/3569051 </t>
  </si>
  <si>
    <t>828-SHUTTLEBOARD3.0BMI088-ND</t>
  </si>
  <si>
    <t>Breakout: 6-axis accelerometer + gyroscope IMU, I2C/SPI, 16-LGA</t>
  </si>
  <si>
    <t>Breakout version of the part to be used (BMI088)</t>
  </si>
  <si>
    <t>https://www.digikey.com/en/products/detail/bosch-sensortec/SHUTTLE-BOARD-3-0-BMI088/14617528</t>
  </si>
  <si>
    <t>LightWare LiDAR Inc.</t>
  </si>
  <si>
    <t>SF20/C</t>
  </si>
  <si>
    <t>100 m-class optical distance sensor, I2C / serial, 4.5-5.5 V</t>
  </si>
  <si>
    <t>Please order at mouser, out of stock at digikey.</t>
  </si>
  <si>
    <t>https://www.digikey.com/en/products/detail/lightware-lidar-inc/SF20-C/15848650</t>
  </si>
  <si>
    <t>Harness (Final)</t>
  </si>
  <si>
    <t>A08SUR08SUR32W102B</t>
  </si>
  <si>
    <t xml:space="preserve">JST SUR 8 pos cable 4” </t>
  </si>
  <si>
    <t>I think 1:N is correct based on the provided datasheet</t>
  </si>
  <si>
    <t>https://www.digikey.com/en/products/detail/jst-sales-america-inc/A08SUR08SUR32W102B/9947457</t>
  </si>
  <si>
    <t>ACC_BOB_08SUR-32S</t>
  </si>
  <si>
    <t>lightware breakout board</t>
  </si>
  <si>
    <t>Antenna (Final)</t>
  </si>
  <si>
    <t>Pulse Electronics</t>
  </si>
  <si>
    <t>W1049B050</t>
  </si>
  <si>
    <t>RF ANTENNA Bluetooth, Wi-Fi, WLAN, Zigbee™ Whip, Tilt U.FL (UMCC), I-PEX MHF1 Connector Mount</t>
  </si>
  <si>
    <t>U.FL direct</t>
  </si>
  <si>
    <t>https://www.digikey.com/en/products/detail/pulse-electronics/W1049B050/2267887</t>
  </si>
  <si>
    <t>Coax Adapter</t>
  </si>
  <si>
    <t>Adafruit</t>
  </si>
  <si>
    <t>RP-SMA to uFL/u.FL/IPX/IPEX RF Adapter Cable</t>
  </si>
  <si>
    <t>https://www.digikey.com/en/products/detail/adafruit-industries-llc/852/6827042</t>
  </si>
  <si>
    <t>Pneumatic Tubing</t>
  </si>
  <si>
    <t>Battery (Final)</t>
  </si>
  <si>
    <t>18650 3.7 V Lithium-Ion Battery Rechargeable (Secondary) 2.2Ah</t>
  </si>
  <si>
    <t>https://www.digikey.com/en/products/detail/adafruit-industries-llc/1781/5054543</t>
  </si>
  <si>
    <t>Testing</t>
  </si>
  <si>
    <t>DFRobot</t>
  </si>
  <si>
    <t>KIT0198-US</t>
  </si>
  <si>
    <t>GNSS-RTK High Precision Positioning Kit with LoRa (US 915 MHz, GPS / GLONASS / Galileo / BDS / QZSS)</t>
  </si>
  <si>
    <t>for calibrating sensors</t>
  </si>
  <si>
    <t>https://www.digikey.com/en/products/detail/dfrobot/KIT0198-US/28531129</t>
  </si>
  <si>
    <t>PCB</t>
  </si>
  <si>
    <t>PCB Estimate</t>
  </si>
  <si>
    <t>PCB with Stencil estimate from JLCPCB and PCBWay</t>
  </si>
  <si>
    <t>Estimate only; not for immediate purchase, unit cost is actually qty 5 pcbs totalling $90</t>
  </si>
  <si>
    <t>Solder Paste</t>
  </si>
  <si>
    <t>Chip Quik Inc.</t>
  </si>
  <si>
    <t>NC191LT10</t>
  </si>
  <si>
    <t>https://www.digikey.com/en/products/detail/chip-quik-inc/SMD291AXT4/8543521</t>
  </si>
  <si>
    <t>Total</t>
  </si>
  <si>
    <t>Price</t>
  </si>
  <si>
    <t>Source2</t>
  </si>
  <si>
    <t>https://www.mouser.com/en/ProductDetail/Bosch-Sensortec/BMI088?qs=f9yNj16SXrIMFspTV6RB6Q%3D%3D</t>
  </si>
  <si>
    <t>Linked DigiKey board is the DevKitC; the module on it is ESP32-S3-WROOM-1U-N8R8.</t>
  </si>
  <si>
    <t xml:space="preserve">https://www.digikey.com/en/products/detail/espressif-systems/ESP32-S3-DEVKITC-1U-N8R8/16162636 </t>
  </si>
  <si>
    <t>https://www.mouser.com/en/ProductDetail/TE-Connectivity-Measurement-Specialties/4525DO-DS5AI001DP?qs=oFx6pF86PmDUpUCTX7loEA%3D%3D</t>
  </si>
  <si>
    <t>Consider SF20/C instead, in stock at mouser</t>
  </si>
  <si>
    <t>https://www.mouser.com/en/ProductDetail/LightWare-LiDAR/SF20-C?qs=iLbezkQI%252Bsj8XPNk6jtsvg%3D%3D&amp;srsltid=AU7gw4XR5WTi284s_tt1DDkMlwxFX9LVR6RI9DoVeR128hiWizheu0jW</t>
  </si>
  <si>
    <t>MCU</t>
  </si>
  <si>
    <t>Airspeed</t>
  </si>
  <si>
    <t>5 V supply; differential pressure; intended for pitot/static airspeed measurement.</t>
  </si>
  <si>
    <t>IMU</t>
  </si>
  <si>
    <t>6-axis accelerometer + gyroscope IMU, I2C/SPI, 16-LGA</t>
  </si>
  <si>
    <t>Surface-mount part for final PCB; -40 C to +85 C operating range.</t>
  </si>
  <si>
    <t xml:space="preserve">https://www.digikey.com/en/products/detail/bosch-sensortec/BMI088/8634936 </t>
  </si>
  <si>
    <t>LiDAR</t>
  </si>
  <si>
    <t>LW20/C</t>
  </si>
  <si>
    <t>20 cm to 100 m sensing range; about 100 mA supply per DigiKey.</t>
  </si>
  <si>
    <t xml:space="preserve">https://www.digikey.com/en/products/detail/lightware-lidar-inc/LW20-C/15848653 </t>
  </si>
  <si>
    <t>Battery Option A</t>
  </si>
  <si>
    <t>Product ID 1781</t>
  </si>
  <si>
    <t>3.7 V 2200 mAh protected lithium-ion cylindrical battery with JST-PH</t>
  </si>
  <si>
    <t>Lower-cost/lower-capacity battery option.</t>
  </si>
  <si>
    <t xml:space="preserve">https://www.adafruit.com/product/1781 </t>
  </si>
  <si>
    <t>Battery Option B</t>
  </si>
  <si>
    <t>Product ID 354</t>
  </si>
  <si>
    <t>3.7 V 4400 mAh protected lithium-ion battery pack with JST connector</t>
  </si>
  <si>
    <t>Higher-capacity option; larger/heavier than 2200 mAh pack.</t>
  </si>
  <si>
    <t xml:space="preserve">https://www.adafruit.com/product/354 </t>
  </si>
  <si>
    <t>Battery Charger Option A</t>
  </si>
  <si>
    <t>Single-cell Li-Ion/Li-Poly charger IC, programmable charge current</t>
  </si>
  <si>
    <t>4.2 V single-cell charger; up to 500 mA charge current for this part.</t>
  </si>
  <si>
    <t xml:space="preserve">https://www.digikey.com/en/products/detail/microchip-technology/MCP73831T-2ACI-OT/964301 </t>
  </si>
  <si>
    <t>Battery Charger Option B</t>
  </si>
  <si>
    <t>BQ21040DBVR</t>
  </si>
  <si>
    <t>Single-cell Li-Ion/Li-Poly charger IC, programmable charging</t>
  </si>
  <si>
    <t>4.2 V single-cell charger; 6.45 V max supply.</t>
  </si>
  <si>
    <t xml:space="preserve">https://www.digikey.com/en/products/detail/texas-instruments/BQ21040DBVR/6036340 </t>
  </si>
  <si>
    <t>5 V Boost Regulator</t>
  </si>
  <si>
    <t>Adjustable boost regulator, 5 V minimum output setting, 800 mA switch</t>
  </si>
  <si>
    <t>2.7-14 V input; use external inductor/diode/capacitors per datasheet.</t>
  </si>
  <si>
    <t xml:space="preserve">https://www.digikey.com/en/products/detail/texas-instruments/LM27313XMF-NOPB/1590046 </t>
  </si>
  <si>
    <t>3.3 V Regulator Option A</t>
  </si>
  <si>
    <t>Semtech Corporation</t>
  </si>
  <si>
    <t>SC189ZSKTRT</t>
  </si>
  <si>
    <t>3.3 V fixed buck regulator, 1.5 A</t>
  </si>
  <si>
    <t>2.9-5.5 V input. Check dropout/operation near a discharged 1-cell Li-ion battery.</t>
  </si>
  <si>
    <t xml:space="preserve">https://www.digikey.com/en/products/detail/semtech-corporation/SC189ZSKTRT/2182360 </t>
  </si>
  <si>
    <t>3.3 V Regulator Option B</t>
  </si>
  <si>
    <t>3.3 V fixed buck regulator, 1 A</t>
  </si>
  <si>
    <t>3-17 V input. Check operation as battery approaches 3.3 V.</t>
  </si>
  <si>
    <t xml:space="preserve">https://www.digikey.com/en/products/detail/texas-instruments/TPS62162DSGR/2833447 </t>
  </si>
  <si>
    <t>Total (including alternative)</t>
  </si>
  <si>
    <t>Core total (ESP32 + airspeed + IMU + LiDAR + LiDAR connector + 2200mAh battery + MCP73831 + LM27313)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</si>
</sst>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_);[Red]&quot;($&quot;#,##0\)"/>
    <numFmt numFmtId="165" formatCode="\$#,##0.00_);[Red]&quot;($&quot;#,##0.00\)"/>
    <numFmt numFmtId="166" formatCode="&quot;$&quot;#,##0.00"/>
  </numFmts>
  <fonts count="2">
    <font>
      <sz val="11"/>
      <color theme="1"/>
      <name val="Aptos Narrow"/>
      <family val="2"/>
      <charset val="1"/>
    </font>
    <font>
      <u/>
      <sz val="11"/>
      <color theme="1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1" fillId="0" borderId="0" xfId="1" applyBorder="1" applyProtection="1"/>
    <xf numFmtId="165" fontId="0" fillId="0" borderId="0" xfId="0" applyNumberFormat="1"/>
    <xf numFmtId="166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urata-electronics/GCM188R71E105KA64D/4903956" TargetMode="External"/><Relationship Id="rId18" Type="http://schemas.openxmlformats.org/officeDocument/2006/relationships/hyperlink" Target="https://www.digikey.com/en/products/detail/yageo/RC0402FR-071KL/726513" TargetMode="External"/><Relationship Id="rId26" Type="http://schemas.openxmlformats.org/officeDocument/2006/relationships/hyperlink" Target="https://www.digikey.com/en/products/detail/bosch-sensortec/SHUTTLE-BOARD-3-0-BMI088/14617528" TargetMode="External"/><Relationship Id="rId3" Type="http://schemas.openxmlformats.org/officeDocument/2006/relationships/hyperlink" Target="https://www.digikey.com/en/products/detail/texas-instruments/TPS22919DCKR/10434801" TargetMode="External"/><Relationship Id="rId21" Type="http://schemas.openxmlformats.org/officeDocument/2006/relationships/hyperlink" Target="https://www.digikey.com/en/products/detail/yageo/AC0402FR-07309KL/5895272" TargetMode="External"/><Relationship Id="rId7" Type="http://schemas.openxmlformats.org/officeDocument/2006/relationships/hyperlink" Target="https://www.digikey.com/en/products/detail/texas-instruments/LM27313XMF-NOPB/1590046" TargetMode="External"/><Relationship Id="rId12" Type="http://schemas.openxmlformats.org/officeDocument/2006/relationships/hyperlink" Target="https://www.digikey.com/en/products/detail/murata-electronics/GRT188R61C106KE13D/5416739" TargetMode="External"/><Relationship Id="rId17" Type="http://schemas.openxmlformats.org/officeDocument/2006/relationships/hyperlink" Target="https://www.digikey.com/en/products/detail/yageo/RC0402FR-0710KL/726523" TargetMode="External"/><Relationship Id="rId25" Type="http://schemas.openxmlformats.org/officeDocument/2006/relationships/hyperlink" Target="https://www.digikey.com/en/products/detail/te-connectivity-measurement-specialties/4525DO-DS5AI001DP/3569051" TargetMode="External"/><Relationship Id="rId33" Type="http://schemas.openxmlformats.org/officeDocument/2006/relationships/hyperlink" Target="https://www.digikey.com/en/products/detail/chip-quik-inc/SMD291AXT4/8543521" TargetMode="External"/><Relationship Id="rId2" Type="http://schemas.openxmlformats.org/officeDocument/2006/relationships/hyperlink" Target="https://www.digikey.com/en/products/detail/bosch-sensortec/BMI088/8634936" TargetMode="External"/><Relationship Id="rId16" Type="http://schemas.openxmlformats.org/officeDocument/2006/relationships/hyperlink" Target="https://www.digikey.com/en/products/detail/tdk/VLS252012ET-2R2M/2465978" TargetMode="External"/><Relationship Id="rId20" Type="http://schemas.openxmlformats.org/officeDocument/2006/relationships/hyperlink" Target="https://www.digikey.com/en/products/detail/yageo/RC0402FR-075K1L/726624" TargetMode="External"/><Relationship Id="rId29" Type="http://schemas.openxmlformats.org/officeDocument/2006/relationships/hyperlink" Target="https://www.digikey.com/en/products/detail/pulse-electronics/W1049B050/2267887" TargetMode="External"/><Relationship Id="rId1" Type="http://schemas.openxmlformats.org/officeDocument/2006/relationships/hyperlink" Target="https://www.digikey.com/en/products/detail/espressif-systems/ESP32-S3-WROOM-1U-N8R8/16162638" TargetMode="External"/><Relationship Id="rId6" Type="http://schemas.openxmlformats.org/officeDocument/2006/relationships/hyperlink" Target="https://www.digikey.com/en/products/detail/microchip-technology/MCP73831T-2ACI-OT/964301" TargetMode="External"/><Relationship Id="rId11" Type="http://schemas.openxmlformats.org/officeDocument/2006/relationships/hyperlink" Target="https://www.digikey.com/en/products/detail/murata-electronics/GRM033R61A104ME15D/2175191" TargetMode="External"/><Relationship Id="rId24" Type="http://schemas.openxmlformats.org/officeDocument/2006/relationships/hyperlink" Target="https://www.mouser.com/en/ProductDetail/Espressif-Systems/ESP32-S3-DevKitC-1U-N8R8?qs=Li%252BoUPsLEnv4qqHEsdK%252Bbw%3D%3D" TargetMode="External"/><Relationship Id="rId32" Type="http://schemas.openxmlformats.org/officeDocument/2006/relationships/hyperlink" Target="https://www.digikey.com/en/products/detail/dfrobot/KIT0198-US/28531129" TargetMode="External"/><Relationship Id="rId5" Type="http://schemas.openxmlformats.org/officeDocument/2006/relationships/hyperlink" Target="https://www.digikey.com/en/products/detail/jst-sales-america-inc/SM08B-SURS-TF/1634781" TargetMode="External"/><Relationship Id="rId15" Type="http://schemas.openxmlformats.org/officeDocument/2006/relationships/hyperlink" Target="https://www.digikey.com/en/products/detail/tdk/VLS6045EX-100M/5057822" TargetMode="External"/><Relationship Id="rId23" Type="http://schemas.openxmlformats.org/officeDocument/2006/relationships/hyperlink" Target="https://www.digikey.com/en/products/detail/c-k/PTS645SH43SMTR92-LFS/1145472" TargetMode="External"/><Relationship Id="rId28" Type="http://schemas.openxmlformats.org/officeDocument/2006/relationships/hyperlink" Target="https://www.digikey.com/en/products/detail/jst-sales-america-inc/A08SUR08SUR32W102B/9947457" TargetMode="External"/><Relationship Id="rId10" Type="http://schemas.openxmlformats.org/officeDocument/2006/relationships/hyperlink" Target="https://www.digikey.com/en/products/detail/onsemi/MBR0520LT3G/1477142" TargetMode="External"/><Relationship Id="rId19" Type="http://schemas.openxmlformats.org/officeDocument/2006/relationships/hyperlink" Target="https://www.digikey.com/en/products/detail/yageo/RC0402JR-074K7L/726477" TargetMode="External"/><Relationship Id="rId31" Type="http://schemas.openxmlformats.org/officeDocument/2006/relationships/hyperlink" Target="https://www.digikey.com/en/products/detail/adafruit-industries-llc/1781/5054543" TargetMode="External"/><Relationship Id="rId4" Type="http://schemas.openxmlformats.org/officeDocument/2006/relationships/hyperlink" Target="https://www.digikey.com/en/products/detail/amphenol-cs-fci/10176546-00011LF/26473252" TargetMode="External"/><Relationship Id="rId9" Type="http://schemas.openxmlformats.org/officeDocument/2006/relationships/hyperlink" Target="https://www.digikey.com/en/products/detail/jst-sales-america-inc/S2B-PH-K-S/926626" TargetMode="External"/><Relationship Id="rId14" Type="http://schemas.openxmlformats.org/officeDocument/2006/relationships/hyperlink" Target="https://www.digikey.com/en/products/detail/murata-electronics/GRM188R61E475KE11D/3900465" TargetMode="External"/><Relationship Id="rId22" Type="http://schemas.openxmlformats.org/officeDocument/2006/relationships/hyperlink" Target="https://www.digikey.com/en/products/detail/yageo/RC0402FR-07100KL/726526" TargetMode="External"/><Relationship Id="rId27" Type="http://schemas.openxmlformats.org/officeDocument/2006/relationships/hyperlink" Target="https://www.digikey.com/en/products/detail/lightware-lidar-inc/SF20-C/15848650" TargetMode="External"/><Relationship Id="rId30" Type="http://schemas.openxmlformats.org/officeDocument/2006/relationships/hyperlink" Target="https://www.digikey.com/en/products/detail/adafruit-industries-llc/852/6827042" TargetMode="External"/><Relationship Id="rId8" Type="http://schemas.openxmlformats.org/officeDocument/2006/relationships/hyperlink" Target="https://www.digikey.com/en/products/detail/texas-instruments/TPS62162DSGR/2833447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xas-instruments/LM27313XMF-NOPB/1590046" TargetMode="External"/><Relationship Id="rId13" Type="http://schemas.openxmlformats.org/officeDocument/2006/relationships/hyperlink" Target="https://www.digikey.com/en/products/detail/murata-electronics/GRT188R61C106KE13D/5416739" TargetMode="External"/><Relationship Id="rId18" Type="http://schemas.openxmlformats.org/officeDocument/2006/relationships/hyperlink" Target="https://www.digikey.com/en/products/detail/yageo/RC0402FR-0710KL/726523" TargetMode="External"/><Relationship Id="rId3" Type="http://schemas.openxmlformats.org/officeDocument/2006/relationships/hyperlink" Target="https://www.mouser.com/en/ProductDetail/Bosch-Sensortec/BMI088?qs=f9yNj16SXrIMFspTV6RB6Q%3D%3D" TargetMode="External"/><Relationship Id="rId21" Type="http://schemas.openxmlformats.org/officeDocument/2006/relationships/hyperlink" Target="https://www.digikey.com/en/products/detail/yageo/RC0402FR-075K1L/726624" TargetMode="External"/><Relationship Id="rId7" Type="http://schemas.openxmlformats.org/officeDocument/2006/relationships/hyperlink" Target="https://www.digikey.com/en/products/detail/microchip-technology/MCP73831T-2ACI-OT/964301" TargetMode="External"/><Relationship Id="rId12" Type="http://schemas.openxmlformats.org/officeDocument/2006/relationships/hyperlink" Target="https://www.digikey.com/en/products/detail/murata-electronics/GRM033R61A104ME15D/2175191" TargetMode="External"/><Relationship Id="rId17" Type="http://schemas.openxmlformats.org/officeDocument/2006/relationships/hyperlink" Target="https://www.digikey.com/en/products/detail/tdk/VLS252012ET-2R2M/2465978" TargetMode="External"/><Relationship Id="rId2" Type="http://schemas.openxmlformats.org/officeDocument/2006/relationships/hyperlink" Target="https://www.digikey.com/en/products/detail/bosch-sensortec/BMI088/8634936" TargetMode="External"/><Relationship Id="rId16" Type="http://schemas.openxmlformats.org/officeDocument/2006/relationships/hyperlink" Target="https://www.digikey.com/en/products/detail/tdk/VLS6045EX-100M/5057822" TargetMode="External"/><Relationship Id="rId20" Type="http://schemas.openxmlformats.org/officeDocument/2006/relationships/hyperlink" Target="https://www.digikey.com/en/products/detail/yageo/RC0402JR-074K7L/726477" TargetMode="External"/><Relationship Id="rId1" Type="http://schemas.openxmlformats.org/officeDocument/2006/relationships/hyperlink" Target="https://www.digikey.com/en/products/detail/espressif-systems/ESP32-S3-WROOM-1U-N8R8/16162638" TargetMode="External"/><Relationship Id="rId6" Type="http://schemas.openxmlformats.org/officeDocument/2006/relationships/hyperlink" Target="https://www.digikey.com/en/products/detail/jst-sales-america-inc/SM08B-SURS-TF/1634781" TargetMode="External"/><Relationship Id="rId11" Type="http://schemas.openxmlformats.org/officeDocument/2006/relationships/hyperlink" Target="https://www.digikey.com/en/products/detail/onsemi/MBR0520LT3G/1477142" TargetMode="External"/><Relationship Id="rId24" Type="http://schemas.openxmlformats.org/officeDocument/2006/relationships/hyperlink" Target="https://www.digikey.com/en/products/detail/c-k/PTS645SH43SMTR92-LFS/1145472" TargetMode="External"/><Relationship Id="rId5" Type="http://schemas.openxmlformats.org/officeDocument/2006/relationships/hyperlink" Target="https://www.digikey.com/en/products/detail/amphenol-cs-fci/10176546-00011LF/26473252" TargetMode="External"/><Relationship Id="rId15" Type="http://schemas.openxmlformats.org/officeDocument/2006/relationships/hyperlink" Target="https://www.digikey.com/en/products/detail/murata-electronics/GRM188R61E475KE11D/3900465" TargetMode="External"/><Relationship Id="rId23" Type="http://schemas.openxmlformats.org/officeDocument/2006/relationships/hyperlink" Target="https://www.digikey.com/en/products/detail/yageo/RC0402FR-07100KL/726526" TargetMode="External"/><Relationship Id="rId10" Type="http://schemas.openxmlformats.org/officeDocument/2006/relationships/hyperlink" Target="https://www.digikey.com/en/products/detail/jst-sales-america-inc/S2B-PH-K-S/926626" TargetMode="External"/><Relationship Id="rId19" Type="http://schemas.openxmlformats.org/officeDocument/2006/relationships/hyperlink" Target="https://www.digikey.com/en/products/detail/yageo/RC0402FR-071KL/726513" TargetMode="External"/><Relationship Id="rId4" Type="http://schemas.openxmlformats.org/officeDocument/2006/relationships/hyperlink" Target="https://www.digikey.com/en/products/detail/texas-instruments/TPS22919DCKR/10434801" TargetMode="External"/><Relationship Id="rId9" Type="http://schemas.openxmlformats.org/officeDocument/2006/relationships/hyperlink" Target="https://www.digikey.com/en/products/detail/texas-instruments/TPS62162DSGR/2833447" TargetMode="External"/><Relationship Id="rId14" Type="http://schemas.openxmlformats.org/officeDocument/2006/relationships/hyperlink" Target="https://www.digikey.com/en/products/detail/murata-electronics/GCM188R71E105KA64D/4903956" TargetMode="External"/><Relationship Id="rId22" Type="http://schemas.openxmlformats.org/officeDocument/2006/relationships/hyperlink" Target="https://www.digikey.com/en/products/detail/yageo/AC0402FR-07309KL/5895272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adafruit-industries-llc/852/6827042" TargetMode="External"/><Relationship Id="rId3" Type="http://schemas.openxmlformats.org/officeDocument/2006/relationships/hyperlink" Target="https://www.digikey.com/en/products/detail/te-connectivity-measurement-specialties/4525DO-DS5AI001DP/3569051" TargetMode="External"/><Relationship Id="rId7" Type="http://schemas.openxmlformats.org/officeDocument/2006/relationships/hyperlink" Target="https://www.digikey.com/en/products/detail/pulse-electronics/W1049B050/2267887" TargetMode="External"/><Relationship Id="rId2" Type="http://schemas.openxmlformats.org/officeDocument/2006/relationships/hyperlink" Target="https://www.mouser.com/en/ProductDetail/Espressif-Systems/ESP32-S3-DevKitC-1U-N8R8?qs=Li%252BoUPsLEnv4qqHEsdK%252Bbw%3D%3D" TargetMode="External"/><Relationship Id="rId1" Type="http://schemas.openxmlformats.org/officeDocument/2006/relationships/hyperlink" Target="https://www.digikey.com/en/products/detail/espressif-systems/ESP32-S3-DEVKITC-1U-N8R8/16162636" TargetMode="External"/><Relationship Id="rId6" Type="http://schemas.openxmlformats.org/officeDocument/2006/relationships/hyperlink" Target="https://www.digikey.com/en/products/detail/jst-sales-america-inc/A08SUR08SUR32W102B/9947457" TargetMode="External"/><Relationship Id="rId5" Type="http://schemas.openxmlformats.org/officeDocument/2006/relationships/hyperlink" Target="https://www.digikey.com/en/products/detail/bosch-sensortec/SHUTTLE-BOARD-3-0-BMI088/14617528" TargetMode="External"/><Relationship Id="rId4" Type="http://schemas.openxmlformats.org/officeDocument/2006/relationships/hyperlink" Target="https://www.mouser.com/en/ProductDetail/TE-Connectivity-Measurement-Specialties/4525DO-DS5AI001DP?qs=oFx6pF86PmDUpUCTX7loEA%3D%3D" TargetMode="External"/><Relationship Id="rId9" Type="http://schemas.openxmlformats.org/officeDocument/2006/relationships/hyperlink" Target="https://www.digikey.com/en/products/detail/adafruit-industries-llc/1781/5054543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xas-instruments/BQ21040DBVR/6036340" TargetMode="External"/><Relationship Id="rId3" Type="http://schemas.openxmlformats.org/officeDocument/2006/relationships/hyperlink" Target="https://www.digikey.com/en/products/detail/bosch-sensortec/BMI088/8634936" TargetMode="External"/><Relationship Id="rId7" Type="http://schemas.openxmlformats.org/officeDocument/2006/relationships/hyperlink" Target="https://www.digikey.com/en/products/detail/microchip-technology/MCP73831T-2ACI-OT/964301" TargetMode="External"/><Relationship Id="rId2" Type="http://schemas.openxmlformats.org/officeDocument/2006/relationships/hyperlink" Target="https://www.digikey.com/en/products/detail/te-connectivity-measurement-specialties/4525DO-DS5AI001DP/3569051" TargetMode="External"/><Relationship Id="rId1" Type="http://schemas.openxmlformats.org/officeDocument/2006/relationships/hyperlink" Target="https://www.digikey.com/en/products/detail/espressif-systems/ESP32-S3-DEVKITC-1U-N8R8/16162636" TargetMode="External"/><Relationship Id="rId6" Type="http://schemas.openxmlformats.org/officeDocument/2006/relationships/hyperlink" Target="https://www.adafruit.com/product/354" TargetMode="External"/><Relationship Id="rId11" Type="http://schemas.openxmlformats.org/officeDocument/2006/relationships/hyperlink" Target="https://www.digikey.com/en/products/detail/texas-instruments/TPS62162DSGR/2833447" TargetMode="External"/><Relationship Id="rId5" Type="http://schemas.openxmlformats.org/officeDocument/2006/relationships/hyperlink" Target="https://www.adafruit.com/product/1781" TargetMode="External"/><Relationship Id="rId10" Type="http://schemas.openxmlformats.org/officeDocument/2006/relationships/hyperlink" Target="https://www.digikey.com/en/products/detail/semtech-corporation/SC189ZSKTRT/2182360" TargetMode="External"/><Relationship Id="rId4" Type="http://schemas.openxmlformats.org/officeDocument/2006/relationships/hyperlink" Target="https://www.digikey.com/en/products/detail/lightware-lidar-inc/LW20-C/15848653" TargetMode="External"/><Relationship Id="rId9" Type="http://schemas.openxmlformats.org/officeDocument/2006/relationships/hyperlink" Target="https://www.digikey.com/en/products/detail/texas-instruments/LM27313XMF-NOPB/15900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9"/>
  <sheetViews>
    <sheetView tabSelected="1" topLeftCell="A25" zoomScaleNormal="100" workbookViewId="0">
      <selection activeCell="H45" sqref="H45"/>
    </sheetView>
  </sheetViews>
  <sheetFormatPr defaultColWidth="10.140625" defaultRowHeight="15" customHeight="1"/>
  <cols>
    <col min="2" max="2" width="15.42578125" customWidth="1"/>
    <col min="3" max="3" width="24.5703125" customWidth="1"/>
    <col min="4" max="4" width="38.855468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0">
      <c r="A2" t="s">
        <v>9</v>
      </c>
      <c r="B2" t="s">
        <v>10</v>
      </c>
      <c r="C2" t="s">
        <v>11</v>
      </c>
      <c r="D2" t="s">
        <v>12</v>
      </c>
      <c r="E2">
        <v>1</v>
      </c>
      <c r="F2" s="5">
        <v>6.76</v>
      </c>
      <c r="G2" s="5">
        <f>F2*E2</f>
        <v>6.76</v>
      </c>
      <c r="I2" s="6" t="s">
        <v>13</v>
      </c>
    </row>
    <row r="3" spans="1:10">
      <c r="A3" t="s">
        <v>9</v>
      </c>
      <c r="B3" t="s">
        <v>14</v>
      </c>
      <c r="C3" t="s">
        <v>15</v>
      </c>
      <c r="D3" t="s">
        <v>16</v>
      </c>
      <c r="E3">
        <v>0</v>
      </c>
      <c r="F3" s="5">
        <v>5.92</v>
      </c>
      <c r="G3" s="5">
        <f t="shared" ref="G3:G38" si="0">F3*E3</f>
        <v>0</v>
      </c>
      <c r="H3" t="s">
        <v>17</v>
      </c>
      <c r="I3" s="6" t="s">
        <v>18</v>
      </c>
      <c r="J3" s="6"/>
    </row>
    <row r="4" spans="1:10">
      <c r="A4" t="s">
        <v>9</v>
      </c>
      <c r="B4" t="s">
        <v>19</v>
      </c>
      <c r="C4" t="s">
        <v>20</v>
      </c>
      <c r="D4" t="s">
        <v>21</v>
      </c>
      <c r="E4">
        <v>10</v>
      </c>
      <c r="F4" s="5">
        <v>0.17</v>
      </c>
      <c r="G4" s="5">
        <f t="shared" si="0"/>
        <v>1.7000000000000002</v>
      </c>
      <c r="H4" t="s">
        <v>22</v>
      </c>
      <c r="I4" s="6" t="s">
        <v>23</v>
      </c>
    </row>
    <row r="5" spans="1:10">
      <c r="A5" t="s">
        <v>24</v>
      </c>
      <c r="B5" t="s">
        <v>25</v>
      </c>
      <c r="C5" t="s">
        <v>26</v>
      </c>
      <c r="D5" t="s">
        <v>27</v>
      </c>
      <c r="E5">
        <v>3</v>
      </c>
      <c r="F5" s="5">
        <v>1.1299999999999999</v>
      </c>
      <c r="G5" s="5">
        <f t="shared" si="0"/>
        <v>3.3899999999999997</v>
      </c>
      <c r="I5" s="6" t="s">
        <v>28</v>
      </c>
    </row>
    <row r="6" spans="1:10">
      <c r="A6" t="s">
        <v>24</v>
      </c>
      <c r="B6" t="s">
        <v>29</v>
      </c>
      <c r="C6" t="s">
        <v>30</v>
      </c>
      <c r="D6" t="s">
        <v>31</v>
      </c>
      <c r="E6">
        <v>3</v>
      </c>
      <c r="F6" s="5">
        <v>1.04</v>
      </c>
      <c r="G6" s="5">
        <f t="shared" si="0"/>
        <v>3.12</v>
      </c>
      <c r="H6" t="s">
        <v>32</v>
      </c>
      <c r="I6" s="6" t="s">
        <v>33</v>
      </c>
    </row>
    <row r="7" spans="1:10">
      <c r="A7" t="s">
        <v>9</v>
      </c>
      <c r="B7" t="s">
        <v>34</v>
      </c>
      <c r="C7" t="s">
        <v>35</v>
      </c>
      <c r="D7" t="s">
        <v>36</v>
      </c>
      <c r="E7">
        <v>3</v>
      </c>
      <c r="F7" s="5">
        <v>0.76</v>
      </c>
      <c r="G7" s="5">
        <f t="shared" si="0"/>
        <v>2.2800000000000002</v>
      </c>
      <c r="I7" s="6" t="s">
        <v>37</v>
      </c>
    </row>
    <row r="8" spans="1:10">
      <c r="A8" t="s">
        <v>9</v>
      </c>
      <c r="B8" t="s">
        <v>19</v>
      </c>
      <c r="C8" s="1" t="s">
        <v>38</v>
      </c>
      <c r="D8" t="s">
        <v>39</v>
      </c>
      <c r="E8">
        <v>3</v>
      </c>
      <c r="F8" s="5">
        <v>2.52</v>
      </c>
      <c r="G8" s="5">
        <f t="shared" si="0"/>
        <v>7.5600000000000005</v>
      </c>
      <c r="I8" s="6" t="s">
        <v>40</v>
      </c>
    </row>
    <row r="9" spans="1:10">
      <c r="A9" t="s">
        <v>9</v>
      </c>
      <c r="B9" t="s">
        <v>19</v>
      </c>
      <c r="C9" t="s">
        <v>41</v>
      </c>
      <c r="D9" t="s">
        <v>42</v>
      </c>
      <c r="E9">
        <v>3</v>
      </c>
      <c r="F9" s="5">
        <v>1.99</v>
      </c>
      <c r="G9" s="5">
        <f t="shared" si="0"/>
        <v>5.97</v>
      </c>
      <c r="I9" s="6" t="s">
        <v>43</v>
      </c>
    </row>
    <row r="10" spans="1:10">
      <c r="A10" t="s">
        <v>24</v>
      </c>
      <c r="B10" t="s">
        <v>29</v>
      </c>
      <c r="C10" t="s">
        <v>44</v>
      </c>
      <c r="D10" t="s">
        <v>45</v>
      </c>
      <c r="E10">
        <v>3</v>
      </c>
      <c r="F10" s="5">
        <v>0.12</v>
      </c>
      <c r="G10" s="5">
        <f t="shared" si="0"/>
        <v>0.36</v>
      </c>
      <c r="H10" t="s">
        <v>46</v>
      </c>
      <c r="I10" s="6" t="s">
        <v>47</v>
      </c>
    </row>
    <row r="11" spans="1:10">
      <c r="A11" t="s">
        <v>48</v>
      </c>
      <c r="B11" t="s">
        <v>49</v>
      </c>
      <c r="C11" t="s">
        <v>50</v>
      </c>
      <c r="D11" t="s">
        <v>51</v>
      </c>
      <c r="E11">
        <v>3</v>
      </c>
      <c r="F11" s="5">
        <v>0.37</v>
      </c>
      <c r="G11" s="5">
        <f t="shared" si="0"/>
        <v>1.1099999999999999</v>
      </c>
      <c r="I11" s="6" t="s">
        <v>52</v>
      </c>
    </row>
    <row r="12" spans="1:10">
      <c r="A12" t="s">
        <v>48</v>
      </c>
      <c r="B12" t="s">
        <v>53</v>
      </c>
      <c r="C12" t="s">
        <v>54</v>
      </c>
      <c r="D12" t="s">
        <v>55</v>
      </c>
      <c r="E12">
        <v>50</v>
      </c>
      <c r="F12" s="5">
        <v>9.4000000000000004E-3</v>
      </c>
      <c r="G12" s="5">
        <f t="shared" si="0"/>
        <v>0.47000000000000003</v>
      </c>
      <c r="I12" s="6" t="s">
        <v>56</v>
      </c>
    </row>
    <row r="13" spans="1:10">
      <c r="A13" t="s">
        <v>48</v>
      </c>
      <c r="B13" t="s">
        <v>53</v>
      </c>
      <c r="C13" t="s">
        <v>57</v>
      </c>
      <c r="D13" t="s">
        <v>58</v>
      </c>
      <c r="E13">
        <v>10</v>
      </c>
      <c r="F13" s="5">
        <v>0.17499999999999999</v>
      </c>
      <c r="G13" s="5">
        <f t="shared" si="0"/>
        <v>1.75</v>
      </c>
      <c r="I13" s="6" t="s">
        <v>59</v>
      </c>
    </row>
    <row r="14" spans="1:10">
      <c r="A14" t="s">
        <v>48</v>
      </c>
      <c r="B14" t="s">
        <v>53</v>
      </c>
      <c r="C14" t="s">
        <v>60</v>
      </c>
      <c r="D14" t="s">
        <v>61</v>
      </c>
      <c r="E14">
        <v>10</v>
      </c>
      <c r="F14" s="5">
        <v>0.109</v>
      </c>
      <c r="G14" s="5">
        <f t="shared" si="0"/>
        <v>1.0900000000000001</v>
      </c>
      <c r="I14" s="6" t="s">
        <v>62</v>
      </c>
    </row>
    <row r="15" spans="1:10">
      <c r="A15" t="s">
        <v>48</v>
      </c>
      <c r="B15" t="s">
        <v>53</v>
      </c>
      <c r="C15" t="s">
        <v>63</v>
      </c>
      <c r="D15" t="s">
        <v>64</v>
      </c>
      <c r="E15">
        <v>10</v>
      </c>
      <c r="F15" s="5">
        <v>0.14099999999999999</v>
      </c>
      <c r="G15" s="5">
        <f t="shared" si="0"/>
        <v>1.41</v>
      </c>
      <c r="I15" s="6" t="s">
        <v>65</v>
      </c>
    </row>
    <row r="16" spans="1:10">
      <c r="A16" t="s">
        <v>48</v>
      </c>
      <c r="D16" t="s">
        <v>66</v>
      </c>
      <c r="E16">
        <v>0</v>
      </c>
      <c r="F16" s="5"/>
      <c r="G16" s="5">
        <f t="shared" si="0"/>
        <v>0</v>
      </c>
      <c r="H16" t="s">
        <v>67</v>
      </c>
    </row>
    <row r="17" spans="1:9">
      <c r="A17" t="s">
        <v>48</v>
      </c>
      <c r="B17" t="s">
        <v>68</v>
      </c>
      <c r="C17" t="s">
        <v>69</v>
      </c>
      <c r="D17" t="s">
        <v>70</v>
      </c>
      <c r="E17">
        <v>3</v>
      </c>
      <c r="F17" s="5">
        <v>0.35</v>
      </c>
      <c r="G17" s="5">
        <f t="shared" si="0"/>
        <v>1.0499999999999998</v>
      </c>
      <c r="H17" t="s">
        <v>71</v>
      </c>
      <c r="I17" s="6" t="s">
        <v>72</v>
      </c>
    </row>
    <row r="18" spans="1:9">
      <c r="A18" t="s">
        <v>48</v>
      </c>
      <c r="B18" t="s">
        <v>68</v>
      </c>
      <c r="C18" t="s">
        <v>73</v>
      </c>
      <c r="D18" t="s">
        <v>74</v>
      </c>
      <c r="E18">
        <v>3</v>
      </c>
      <c r="F18" s="5">
        <v>0.28000000000000003</v>
      </c>
      <c r="G18" s="5">
        <f t="shared" si="0"/>
        <v>0.84000000000000008</v>
      </c>
      <c r="H18" t="s">
        <v>71</v>
      </c>
      <c r="I18" s="6" t="s">
        <v>75</v>
      </c>
    </row>
    <row r="19" spans="1:9">
      <c r="A19" t="s">
        <v>48</v>
      </c>
      <c r="B19" t="s">
        <v>76</v>
      </c>
      <c r="C19" t="s">
        <v>77</v>
      </c>
      <c r="D19" t="s">
        <v>78</v>
      </c>
      <c r="E19">
        <v>25</v>
      </c>
      <c r="F19" s="5">
        <v>1.52E-2</v>
      </c>
      <c r="G19" s="5">
        <f t="shared" si="0"/>
        <v>0.38</v>
      </c>
      <c r="I19" s="6" t="s">
        <v>79</v>
      </c>
    </row>
    <row r="20" spans="1:9">
      <c r="A20" t="s">
        <v>48</v>
      </c>
      <c r="B20" t="s">
        <v>76</v>
      </c>
      <c r="C20" t="s">
        <v>80</v>
      </c>
      <c r="D20" t="s">
        <v>81</v>
      </c>
      <c r="E20">
        <v>25</v>
      </c>
      <c r="F20" s="5">
        <v>1.52E-2</v>
      </c>
      <c r="G20" s="5">
        <f t="shared" si="0"/>
        <v>0.38</v>
      </c>
      <c r="I20" s="6" t="s">
        <v>82</v>
      </c>
    </row>
    <row r="21" spans="1:9">
      <c r="A21" t="s">
        <v>48</v>
      </c>
      <c r="B21" t="s">
        <v>76</v>
      </c>
      <c r="C21" t="s">
        <v>83</v>
      </c>
      <c r="D21" t="s">
        <v>84</v>
      </c>
      <c r="E21">
        <v>25</v>
      </c>
      <c r="F21" s="5">
        <v>1.44E-2</v>
      </c>
      <c r="G21" s="5">
        <f t="shared" si="0"/>
        <v>0.36</v>
      </c>
      <c r="I21" s="6" t="s">
        <v>85</v>
      </c>
    </row>
    <row r="22" spans="1:9">
      <c r="A22" t="s">
        <v>48</v>
      </c>
      <c r="B22" t="s">
        <v>76</v>
      </c>
      <c r="C22" t="s">
        <v>86</v>
      </c>
      <c r="D22" t="s">
        <v>87</v>
      </c>
      <c r="E22">
        <v>25</v>
      </c>
      <c r="F22" s="5">
        <v>1.52E-2</v>
      </c>
      <c r="G22" s="5">
        <f t="shared" si="0"/>
        <v>0.38</v>
      </c>
      <c r="I22" s="6" t="s">
        <v>88</v>
      </c>
    </row>
    <row r="23" spans="1:9">
      <c r="A23" t="s">
        <v>48</v>
      </c>
      <c r="B23" t="s">
        <v>76</v>
      </c>
      <c r="C23" t="s">
        <v>89</v>
      </c>
      <c r="D23" t="s">
        <v>90</v>
      </c>
      <c r="E23">
        <v>10</v>
      </c>
      <c r="F23" s="5">
        <v>2.4E-2</v>
      </c>
      <c r="G23" s="5">
        <f t="shared" si="0"/>
        <v>0.24</v>
      </c>
      <c r="I23" s="6" t="s">
        <v>91</v>
      </c>
    </row>
    <row r="24" spans="1:9">
      <c r="A24" t="s">
        <v>48</v>
      </c>
      <c r="B24" t="s">
        <v>76</v>
      </c>
      <c r="C24" t="s">
        <v>92</v>
      </c>
      <c r="D24" t="s">
        <v>93</v>
      </c>
      <c r="E24">
        <v>10</v>
      </c>
      <c r="F24" s="5">
        <v>2.1000000000000001E-2</v>
      </c>
      <c r="G24" s="5">
        <f t="shared" si="0"/>
        <v>0.21000000000000002</v>
      </c>
      <c r="I24" s="6" t="s">
        <v>94</v>
      </c>
    </row>
    <row r="25" spans="1:9">
      <c r="A25" t="s">
        <v>9</v>
      </c>
      <c r="B25" t="s">
        <v>95</v>
      </c>
      <c r="C25" t="s">
        <v>96</v>
      </c>
      <c r="D25" t="s">
        <v>97</v>
      </c>
      <c r="E25">
        <v>5</v>
      </c>
      <c r="F25" s="5">
        <v>0.39</v>
      </c>
      <c r="G25" s="5">
        <f t="shared" si="0"/>
        <v>1.9500000000000002</v>
      </c>
      <c r="I25" s="6" t="s">
        <v>98</v>
      </c>
    </row>
    <row r="26" spans="1:9">
      <c r="A26" t="s">
        <v>99</v>
      </c>
      <c r="B26" t="s">
        <v>10</v>
      </c>
      <c r="C26" t="s">
        <v>100</v>
      </c>
      <c r="D26" t="s">
        <v>101</v>
      </c>
      <c r="E26">
        <v>2</v>
      </c>
      <c r="F26" s="5">
        <v>15.31</v>
      </c>
      <c r="G26" s="5">
        <f t="shared" si="0"/>
        <v>30.62</v>
      </c>
      <c r="H26" t="s">
        <v>102</v>
      </c>
      <c r="I26" s="6" t="s">
        <v>103</v>
      </c>
    </row>
    <row r="27" spans="1:9">
      <c r="A27" t="s">
        <v>104</v>
      </c>
      <c r="B27" t="s">
        <v>105</v>
      </c>
      <c r="C27" t="s">
        <v>106</v>
      </c>
      <c r="D27" t="s">
        <v>107</v>
      </c>
      <c r="E27">
        <v>1</v>
      </c>
      <c r="F27" s="5">
        <v>72.41</v>
      </c>
      <c r="G27" s="5">
        <f t="shared" si="0"/>
        <v>72.41</v>
      </c>
      <c r="H27" t="s">
        <v>108</v>
      </c>
      <c r="I27" s="3" t="s">
        <v>109</v>
      </c>
    </row>
    <row r="28" spans="1:9">
      <c r="A28" t="s">
        <v>99</v>
      </c>
      <c r="B28" t="s">
        <v>14</v>
      </c>
      <c r="C28" t="s">
        <v>110</v>
      </c>
      <c r="D28" t="s">
        <v>111</v>
      </c>
      <c r="E28">
        <v>2</v>
      </c>
      <c r="F28" s="5">
        <v>16.2</v>
      </c>
      <c r="G28" s="5">
        <f t="shared" si="0"/>
        <v>32.4</v>
      </c>
      <c r="H28" t="s">
        <v>112</v>
      </c>
      <c r="I28" s="3" t="s">
        <v>113</v>
      </c>
    </row>
    <row r="29" spans="1:9">
      <c r="A29" t="s">
        <v>104</v>
      </c>
      <c r="B29" t="s">
        <v>114</v>
      </c>
      <c r="C29" t="s">
        <v>115</v>
      </c>
      <c r="D29" t="s">
        <v>116</v>
      </c>
      <c r="E29">
        <v>1</v>
      </c>
      <c r="F29" s="5">
        <v>319</v>
      </c>
      <c r="G29" s="5">
        <f t="shared" si="0"/>
        <v>319</v>
      </c>
      <c r="H29" t="s">
        <v>117</v>
      </c>
      <c r="I29" s="6" t="s">
        <v>118</v>
      </c>
    </row>
    <row r="30" spans="1:9">
      <c r="A30" t="s">
        <v>119</v>
      </c>
      <c r="B30" t="s">
        <v>29</v>
      </c>
      <c r="C30" t="s">
        <v>120</v>
      </c>
      <c r="D30" t="s">
        <v>121</v>
      </c>
      <c r="E30">
        <v>2</v>
      </c>
      <c r="F30" s="5">
        <v>2.13</v>
      </c>
      <c r="G30" s="5">
        <f t="shared" si="0"/>
        <v>4.26</v>
      </c>
      <c r="H30" t="s">
        <v>122</v>
      </c>
      <c r="I30" s="6" t="s">
        <v>123</v>
      </c>
    </row>
    <row r="31" spans="1:9">
      <c r="A31" t="s">
        <v>99</v>
      </c>
      <c r="B31" t="s">
        <v>114</v>
      </c>
      <c r="C31" s="1" t="s">
        <v>124</v>
      </c>
      <c r="D31" t="s">
        <v>125</v>
      </c>
      <c r="E31">
        <v>0</v>
      </c>
      <c r="F31" s="5"/>
      <c r="G31" s="5">
        <f t="shared" si="0"/>
        <v>0</v>
      </c>
      <c r="H31" t="s">
        <v>67</v>
      </c>
    </row>
    <row r="32" spans="1:9">
      <c r="A32" t="s">
        <v>126</v>
      </c>
      <c r="B32" t="s">
        <v>127</v>
      </c>
      <c r="C32" t="s">
        <v>128</v>
      </c>
      <c r="D32" t="s">
        <v>129</v>
      </c>
      <c r="E32">
        <v>1</v>
      </c>
      <c r="F32" s="5">
        <v>4.49</v>
      </c>
      <c r="G32" s="5">
        <f t="shared" si="0"/>
        <v>4.49</v>
      </c>
      <c r="H32" t="s">
        <v>130</v>
      </c>
      <c r="I32" s="6" t="s">
        <v>131</v>
      </c>
    </row>
    <row r="33" spans="1:9">
      <c r="A33" t="s">
        <v>132</v>
      </c>
      <c r="B33" t="s">
        <v>133</v>
      </c>
      <c r="C33">
        <v>852</v>
      </c>
      <c r="D33" t="s">
        <v>134</v>
      </c>
      <c r="E33">
        <v>0</v>
      </c>
      <c r="F33" s="5"/>
      <c r="G33" s="5">
        <f t="shared" si="0"/>
        <v>0</v>
      </c>
      <c r="H33" t="s">
        <v>67</v>
      </c>
      <c r="I33" t="s">
        <v>135</v>
      </c>
    </row>
    <row r="34" spans="1:9">
      <c r="A34" t="s">
        <v>136</v>
      </c>
      <c r="E34">
        <v>0</v>
      </c>
      <c r="F34" s="5"/>
      <c r="G34" s="5">
        <f t="shared" si="0"/>
        <v>0</v>
      </c>
      <c r="H34" t="s">
        <v>67</v>
      </c>
    </row>
    <row r="35" spans="1:9">
      <c r="A35" t="s">
        <v>137</v>
      </c>
      <c r="B35" t="s">
        <v>133</v>
      </c>
      <c r="C35">
        <v>1781</v>
      </c>
      <c r="D35" t="s">
        <v>138</v>
      </c>
      <c r="E35">
        <v>2</v>
      </c>
      <c r="F35" s="5">
        <v>9.9499999999999993</v>
      </c>
      <c r="G35" s="5">
        <f t="shared" si="0"/>
        <v>19.899999999999999</v>
      </c>
      <c r="I35" s="6" t="s">
        <v>139</v>
      </c>
    </row>
    <row r="36" spans="1:9">
      <c r="A36" t="s">
        <v>140</v>
      </c>
      <c r="B36" t="s">
        <v>141</v>
      </c>
      <c r="C36" t="s">
        <v>142</v>
      </c>
      <c r="D36" t="s">
        <v>143</v>
      </c>
      <c r="E36">
        <v>1</v>
      </c>
      <c r="F36" s="5">
        <v>169</v>
      </c>
      <c r="G36" s="5">
        <f t="shared" si="0"/>
        <v>169</v>
      </c>
      <c r="H36" t="s">
        <v>144</v>
      </c>
      <c r="I36" s="6" t="s">
        <v>145</v>
      </c>
    </row>
    <row r="37" spans="1:9">
      <c r="A37" t="s">
        <v>146</v>
      </c>
      <c r="C37" t="s">
        <v>147</v>
      </c>
      <c r="D37" t="s">
        <v>148</v>
      </c>
      <c r="E37">
        <v>1</v>
      </c>
      <c r="F37" s="5">
        <v>90</v>
      </c>
      <c r="G37" s="5">
        <f t="shared" si="0"/>
        <v>90</v>
      </c>
      <c r="H37" t="s">
        <v>149</v>
      </c>
    </row>
    <row r="38" spans="1:9">
      <c r="A38" t="s">
        <v>150</v>
      </c>
      <c r="B38" t="s">
        <v>151</v>
      </c>
      <c r="C38" t="s">
        <v>152</v>
      </c>
      <c r="E38">
        <v>1</v>
      </c>
      <c r="F38" s="5">
        <v>17.989999999999998</v>
      </c>
      <c r="G38" s="5">
        <f t="shared" si="0"/>
        <v>17.989999999999998</v>
      </c>
      <c r="I38" s="6" t="s">
        <v>153</v>
      </c>
    </row>
    <row r="39" spans="1:9">
      <c r="E39" t="s">
        <v>154</v>
      </c>
      <c r="G39" s="5">
        <f>SUM(G2:G38)</f>
        <v>802.83</v>
      </c>
    </row>
  </sheetData>
  <hyperlinks>
    <hyperlink ref="I2" r:id="rId1" xr:uid="{00000000-0004-0000-0000-000000000000}"/>
    <hyperlink ref="I3" r:id="rId2" xr:uid="{00000000-0004-0000-0000-000001000000}"/>
    <hyperlink ref="I4" r:id="rId3" xr:uid="{00000000-0004-0000-0000-000003000000}"/>
    <hyperlink ref="I5" r:id="rId4" xr:uid="{00000000-0004-0000-0000-000004000000}"/>
    <hyperlink ref="I6" r:id="rId5" xr:uid="{00000000-0004-0000-0000-000005000000}"/>
    <hyperlink ref="I7" r:id="rId6" xr:uid="{00000000-0004-0000-0000-000006000000}"/>
    <hyperlink ref="I8" r:id="rId7" xr:uid="{00000000-0004-0000-0000-000007000000}"/>
    <hyperlink ref="I9" r:id="rId8" xr:uid="{00000000-0004-0000-0000-000008000000}"/>
    <hyperlink ref="I10" r:id="rId9" xr:uid="{00000000-0004-0000-0000-000009000000}"/>
    <hyperlink ref="I11" r:id="rId10" xr:uid="{00000000-0004-0000-0000-00000A000000}"/>
    <hyperlink ref="I12" r:id="rId11" xr:uid="{00000000-0004-0000-0000-00000B000000}"/>
    <hyperlink ref="I13" r:id="rId12" xr:uid="{00000000-0004-0000-0000-00000C000000}"/>
    <hyperlink ref="I14" r:id="rId13" xr:uid="{00000000-0004-0000-0000-00000D000000}"/>
    <hyperlink ref="I15" r:id="rId14" xr:uid="{00000000-0004-0000-0000-00000E000000}"/>
    <hyperlink ref="I17" r:id="rId15" xr:uid="{00000000-0004-0000-0000-00000F000000}"/>
    <hyperlink ref="I18" r:id="rId16" xr:uid="{00000000-0004-0000-0000-000010000000}"/>
    <hyperlink ref="I19" r:id="rId17" xr:uid="{00000000-0004-0000-0000-000011000000}"/>
    <hyperlink ref="I20" r:id="rId18" xr:uid="{00000000-0004-0000-0000-000012000000}"/>
    <hyperlink ref="I21" r:id="rId19" xr:uid="{00000000-0004-0000-0000-000013000000}"/>
    <hyperlink ref="I22" r:id="rId20" xr:uid="{00000000-0004-0000-0000-000014000000}"/>
    <hyperlink ref="I23" r:id="rId21" xr:uid="{00000000-0004-0000-0000-000015000000}"/>
    <hyperlink ref="I24" r:id="rId22" xr:uid="{00000000-0004-0000-0000-000016000000}"/>
    <hyperlink ref="I25" r:id="rId23" xr:uid="{00000000-0004-0000-0000-000017000000}"/>
    <hyperlink ref="I26" r:id="rId24" xr:uid="{00000000-0004-0000-0000-000019000000}"/>
    <hyperlink ref="I27" r:id="rId25" xr:uid="{00000000-0004-0000-0000-00001A000000}"/>
    <hyperlink ref="I28" r:id="rId26" xr:uid="{00000000-0004-0000-0000-00001C000000}"/>
    <hyperlink ref="I29" r:id="rId27" xr:uid="{00000000-0004-0000-0000-00001D000000}"/>
    <hyperlink ref="I30" r:id="rId28" xr:uid="{00000000-0004-0000-0000-00001E000000}"/>
    <hyperlink ref="I32" r:id="rId29" xr:uid="{00000000-0004-0000-0000-00001F000000}"/>
    <hyperlink ref="I33" r:id="rId30" xr:uid="{00000000-0004-0000-0000-000020000000}"/>
    <hyperlink ref="I35" r:id="rId31" xr:uid="{00000000-0004-0000-0000-000021000000}"/>
    <hyperlink ref="I36" r:id="rId32" xr:uid="{00000000-0004-0000-0000-000022000000}"/>
    <hyperlink ref="I38" r:id="rId33" xr:uid="{D8AF1D60-FCF4-470F-94B1-6AB794A1956D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"/>
  <sheetViews>
    <sheetView topLeftCell="A12" zoomScale="97" zoomScaleNormal="97" workbookViewId="0"/>
  </sheetViews>
  <sheetFormatPr defaultColWidth="10.140625" defaultRowHeight="12.75"/>
  <cols>
    <col min="2" max="2" width="20.5703125" customWidth="1"/>
    <col min="3" max="3" width="21" customWidth="1"/>
    <col min="4" max="4" width="37.28515625" customWidth="1"/>
    <col min="7" max="7" width="23.42578125" customWidth="1"/>
  </cols>
  <sheetData>
    <row r="1" spans="1:9" ht="13.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155</v>
      </c>
      <c r="G1" t="s">
        <v>7</v>
      </c>
      <c r="H1" t="s">
        <v>8</v>
      </c>
      <c r="I1" t="s">
        <v>156</v>
      </c>
    </row>
    <row r="2" spans="1:9" ht="16.149999999999999">
      <c r="A2" t="s">
        <v>9</v>
      </c>
      <c r="B2" t="s">
        <v>10</v>
      </c>
      <c r="C2" t="s">
        <v>11</v>
      </c>
      <c r="D2" t="s">
        <v>12</v>
      </c>
      <c r="E2">
        <v>1</v>
      </c>
      <c r="F2">
        <v>6.76</v>
      </c>
      <c r="H2" t="s">
        <v>13</v>
      </c>
    </row>
    <row r="3" spans="1:9" ht="16.149999999999999">
      <c r="A3" t="s">
        <v>9</v>
      </c>
      <c r="B3" t="s">
        <v>14</v>
      </c>
      <c r="C3" t="s">
        <v>15</v>
      </c>
      <c r="D3" t="s">
        <v>16</v>
      </c>
      <c r="E3">
        <v>0</v>
      </c>
      <c r="F3">
        <v>5.92</v>
      </c>
      <c r="G3" t="s">
        <v>17</v>
      </c>
      <c r="H3" t="s">
        <v>18</v>
      </c>
      <c r="I3" t="s">
        <v>157</v>
      </c>
    </row>
    <row r="4" spans="1:9" ht="16.149999999999999">
      <c r="A4" t="s">
        <v>9</v>
      </c>
      <c r="B4" t="s">
        <v>19</v>
      </c>
      <c r="C4" t="s">
        <v>20</v>
      </c>
      <c r="D4" t="s">
        <v>21</v>
      </c>
      <c r="E4">
        <v>10</v>
      </c>
      <c r="F4">
        <v>1.7</v>
      </c>
      <c r="G4" t="s">
        <v>22</v>
      </c>
      <c r="H4" t="s">
        <v>23</v>
      </c>
    </row>
    <row r="5" spans="1:9" ht="16.149999999999999">
      <c r="A5" t="s">
        <v>24</v>
      </c>
      <c r="B5" t="s">
        <v>25</v>
      </c>
      <c r="C5" t="s">
        <v>26</v>
      </c>
      <c r="D5" t="s">
        <v>27</v>
      </c>
      <c r="E5">
        <v>3</v>
      </c>
      <c r="F5">
        <v>3.39</v>
      </c>
      <c r="H5" t="s">
        <v>28</v>
      </c>
    </row>
    <row r="6" spans="1:9" ht="16.149999999999999">
      <c r="A6" t="s">
        <v>24</v>
      </c>
      <c r="B6" t="s">
        <v>29</v>
      </c>
      <c r="C6" t="s">
        <v>30</v>
      </c>
      <c r="D6" t="s">
        <v>31</v>
      </c>
      <c r="E6">
        <v>3</v>
      </c>
      <c r="F6">
        <v>3.12</v>
      </c>
      <c r="G6" t="s">
        <v>32</v>
      </c>
      <c r="H6" t="s">
        <v>33</v>
      </c>
    </row>
    <row r="7" spans="1:9" ht="16.149999999999999">
      <c r="A7" t="s">
        <v>9</v>
      </c>
      <c r="B7" t="s">
        <v>34</v>
      </c>
      <c r="C7" t="s">
        <v>35</v>
      </c>
      <c r="D7" t="s">
        <v>36</v>
      </c>
      <c r="E7">
        <v>3</v>
      </c>
      <c r="F7">
        <v>2.2799999999999998</v>
      </c>
      <c r="H7" t="s">
        <v>37</v>
      </c>
    </row>
    <row r="8" spans="1:9" ht="16.149999999999999">
      <c r="A8" t="s">
        <v>9</v>
      </c>
      <c r="B8" t="s">
        <v>19</v>
      </c>
      <c r="C8" s="1" t="s">
        <v>38</v>
      </c>
      <c r="D8" t="s">
        <v>39</v>
      </c>
      <c r="E8">
        <v>3</v>
      </c>
      <c r="F8">
        <v>7.56</v>
      </c>
      <c r="H8" t="s">
        <v>40</v>
      </c>
    </row>
    <row r="9" spans="1:9" ht="16.149999999999999">
      <c r="A9" t="s">
        <v>9</v>
      </c>
      <c r="B9" t="s">
        <v>19</v>
      </c>
      <c r="C9" t="s">
        <v>41</v>
      </c>
      <c r="D9" t="s">
        <v>42</v>
      </c>
      <c r="E9">
        <v>3</v>
      </c>
      <c r="F9">
        <v>5.97</v>
      </c>
      <c r="H9" t="s">
        <v>43</v>
      </c>
    </row>
    <row r="10" spans="1:9" ht="16.149999999999999">
      <c r="A10" t="s">
        <v>24</v>
      </c>
      <c r="B10" t="s">
        <v>29</v>
      </c>
      <c r="C10" t="s">
        <v>44</v>
      </c>
      <c r="D10" t="s">
        <v>45</v>
      </c>
      <c r="E10">
        <v>3</v>
      </c>
      <c r="F10">
        <v>0.36</v>
      </c>
      <c r="G10" t="s">
        <v>46</v>
      </c>
      <c r="H10" t="s">
        <v>47</v>
      </c>
    </row>
    <row r="11" spans="1:9" ht="16.149999999999999">
      <c r="A11" t="s">
        <v>48</v>
      </c>
      <c r="B11" t="s">
        <v>49</v>
      </c>
      <c r="C11" t="s">
        <v>50</v>
      </c>
      <c r="D11" t="s">
        <v>51</v>
      </c>
      <c r="E11">
        <v>3</v>
      </c>
      <c r="F11">
        <v>1.1100000000000001</v>
      </c>
      <c r="H11" t="s">
        <v>52</v>
      </c>
    </row>
    <row r="12" spans="1:9" ht="16.149999999999999">
      <c r="A12" t="s">
        <v>48</v>
      </c>
      <c r="B12" t="s">
        <v>53</v>
      </c>
      <c r="C12" t="s">
        <v>54</v>
      </c>
      <c r="D12" t="s">
        <v>55</v>
      </c>
      <c r="E12">
        <v>50</v>
      </c>
      <c r="F12">
        <v>0.44</v>
      </c>
      <c r="H12" t="s">
        <v>56</v>
      </c>
    </row>
    <row r="13" spans="1:9" ht="16.149999999999999">
      <c r="A13" t="s">
        <v>48</v>
      </c>
      <c r="B13" t="s">
        <v>53</v>
      </c>
      <c r="C13" t="s">
        <v>57</v>
      </c>
      <c r="D13" t="s">
        <v>58</v>
      </c>
      <c r="E13">
        <v>10</v>
      </c>
      <c r="F13">
        <v>1.75</v>
      </c>
      <c r="H13" t="s">
        <v>59</v>
      </c>
    </row>
    <row r="14" spans="1:9" ht="16.149999999999999">
      <c r="A14" t="s">
        <v>48</v>
      </c>
      <c r="B14" t="s">
        <v>53</v>
      </c>
      <c r="C14" t="s">
        <v>60</v>
      </c>
      <c r="D14" t="s">
        <v>61</v>
      </c>
      <c r="E14">
        <v>10</v>
      </c>
      <c r="F14">
        <v>1.0900000000000001</v>
      </c>
      <c r="H14" t="s">
        <v>62</v>
      </c>
    </row>
    <row r="15" spans="1:9" ht="16.149999999999999">
      <c r="A15" t="s">
        <v>48</v>
      </c>
      <c r="B15" t="s">
        <v>53</v>
      </c>
      <c r="C15" t="s">
        <v>63</v>
      </c>
      <c r="D15" t="s">
        <v>64</v>
      </c>
      <c r="E15">
        <v>10</v>
      </c>
      <c r="F15">
        <v>1.41</v>
      </c>
      <c r="H15" t="s">
        <v>65</v>
      </c>
    </row>
    <row r="16" spans="1:9">
      <c r="A16" t="s">
        <v>48</v>
      </c>
      <c r="D16" t="s">
        <v>66</v>
      </c>
      <c r="E16">
        <v>0</v>
      </c>
      <c r="G16" t="s">
        <v>67</v>
      </c>
    </row>
    <row r="17" spans="1:8" ht="16.149999999999999">
      <c r="A17" t="s">
        <v>48</v>
      </c>
      <c r="B17" t="s">
        <v>68</v>
      </c>
      <c r="C17" t="s">
        <v>69</v>
      </c>
      <c r="D17" t="s">
        <v>70</v>
      </c>
      <c r="E17">
        <v>3</v>
      </c>
      <c r="F17">
        <v>1.05</v>
      </c>
      <c r="G17" t="s">
        <v>71</v>
      </c>
      <c r="H17" t="s">
        <v>72</v>
      </c>
    </row>
    <row r="18" spans="1:8" ht="16.149999999999999">
      <c r="A18" t="s">
        <v>48</v>
      </c>
      <c r="B18" t="s">
        <v>68</v>
      </c>
      <c r="C18" t="s">
        <v>73</v>
      </c>
      <c r="D18" t="s">
        <v>74</v>
      </c>
      <c r="E18">
        <v>3</v>
      </c>
      <c r="F18">
        <v>0.84</v>
      </c>
      <c r="G18" t="s">
        <v>71</v>
      </c>
      <c r="H18" t="s">
        <v>75</v>
      </c>
    </row>
    <row r="19" spans="1:8" ht="16.149999999999999">
      <c r="A19" t="s">
        <v>48</v>
      </c>
      <c r="B19" t="s">
        <v>76</v>
      </c>
      <c r="C19" t="s">
        <v>77</v>
      </c>
      <c r="D19" t="s">
        <v>78</v>
      </c>
      <c r="E19">
        <v>25</v>
      </c>
      <c r="F19">
        <v>0.38</v>
      </c>
      <c r="H19" t="s">
        <v>79</v>
      </c>
    </row>
    <row r="20" spans="1:8" ht="16.149999999999999">
      <c r="A20" t="s">
        <v>48</v>
      </c>
      <c r="B20" t="s">
        <v>76</v>
      </c>
      <c r="C20" t="s">
        <v>80</v>
      </c>
      <c r="D20" t="s">
        <v>81</v>
      </c>
      <c r="E20">
        <v>25</v>
      </c>
      <c r="F20">
        <v>0.38</v>
      </c>
      <c r="H20" t="s">
        <v>82</v>
      </c>
    </row>
    <row r="21" spans="1:8" ht="16.149999999999999">
      <c r="A21" t="s">
        <v>48</v>
      </c>
      <c r="B21" t="s">
        <v>76</v>
      </c>
      <c r="C21" t="s">
        <v>83</v>
      </c>
      <c r="D21" t="s">
        <v>84</v>
      </c>
      <c r="E21">
        <v>25</v>
      </c>
      <c r="F21">
        <v>0.36</v>
      </c>
      <c r="H21" t="s">
        <v>85</v>
      </c>
    </row>
    <row r="22" spans="1:8" ht="16.149999999999999">
      <c r="A22" t="s">
        <v>48</v>
      </c>
      <c r="B22" t="s">
        <v>76</v>
      </c>
      <c r="C22" t="s">
        <v>86</v>
      </c>
      <c r="D22" t="s">
        <v>87</v>
      </c>
      <c r="E22">
        <v>25</v>
      </c>
      <c r="F22">
        <v>0.38</v>
      </c>
      <c r="H22" t="s">
        <v>88</v>
      </c>
    </row>
    <row r="23" spans="1:8" ht="16.149999999999999">
      <c r="A23" t="s">
        <v>48</v>
      </c>
      <c r="B23" t="s">
        <v>76</v>
      </c>
      <c r="C23" t="s">
        <v>89</v>
      </c>
      <c r="D23" t="s">
        <v>90</v>
      </c>
      <c r="E23">
        <v>10</v>
      </c>
      <c r="F23">
        <v>0.24</v>
      </c>
      <c r="H23" t="s">
        <v>91</v>
      </c>
    </row>
    <row r="24" spans="1:8" ht="16.149999999999999">
      <c r="A24" t="s">
        <v>48</v>
      </c>
      <c r="B24" t="s">
        <v>76</v>
      </c>
      <c r="C24" t="s">
        <v>92</v>
      </c>
      <c r="D24" t="s">
        <v>93</v>
      </c>
      <c r="E24">
        <v>10</v>
      </c>
      <c r="F24">
        <v>0.21</v>
      </c>
      <c r="H24" t="s">
        <v>94</v>
      </c>
    </row>
    <row r="25" spans="1:8" ht="16.149999999999999">
      <c r="A25" t="s">
        <v>9</v>
      </c>
      <c r="B25" t="s">
        <v>95</v>
      </c>
      <c r="C25" t="s">
        <v>96</v>
      </c>
      <c r="D25" t="s">
        <v>97</v>
      </c>
      <c r="E25">
        <v>5</v>
      </c>
      <c r="F25">
        <v>1.95</v>
      </c>
      <c r="H25" t="s">
        <v>98</v>
      </c>
    </row>
  </sheetData>
  <hyperlinks>
    <hyperlink ref="H2" r:id="rId1" xr:uid="{00000000-0004-0000-0100-000000000000}"/>
    <hyperlink ref="H3" r:id="rId2" xr:uid="{00000000-0004-0000-0100-000001000000}"/>
    <hyperlink ref="I3" r:id="rId3" xr:uid="{00000000-0004-0000-0100-000002000000}"/>
    <hyperlink ref="H4" r:id="rId4" xr:uid="{00000000-0004-0000-0100-000003000000}"/>
    <hyperlink ref="H5" r:id="rId5" xr:uid="{00000000-0004-0000-0100-000004000000}"/>
    <hyperlink ref="H6" r:id="rId6" xr:uid="{00000000-0004-0000-0100-000005000000}"/>
    <hyperlink ref="H7" r:id="rId7" xr:uid="{00000000-0004-0000-0100-000006000000}"/>
    <hyperlink ref="H8" r:id="rId8" xr:uid="{00000000-0004-0000-0100-000007000000}"/>
    <hyperlink ref="H9" r:id="rId9" xr:uid="{00000000-0004-0000-0100-000008000000}"/>
    <hyperlink ref="H10" r:id="rId10" xr:uid="{00000000-0004-0000-0100-000009000000}"/>
    <hyperlink ref="H11" r:id="rId11" xr:uid="{00000000-0004-0000-0100-00000A000000}"/>
    <hyperlink ref="H12" r:id="rId12" xr:uid="{00000000-0004-0000-0100-00000B000000}"/>
    <hyperlink ref="H13" r:id="rId13" xr:uid="{00000000-0004-0000-0100-00000C000000}"/>
    <hyperlink ref="H14" r:id="rId14" xr:uid="{00000000-0004-0000-0100-00000D000000}"/>
    <hyperlink ref="H15" r:id="rId15" xr:uid="{00000000-0004-0000-0100-00000E000000}"/>
    <hyperlink ref="H17" r:id="rId16" xr:uid="{00000000-0004-0000-0100-00000F000000}"/>
    <hyperlink ref="H18" r:id="rId17" xr:uid="{00000000-0004-0000-0100-000010000000}"/>
    <hyperlink ref="H19" r:id="rId18" xr:uid="{00000000-0004-0000-0100-000011000000}"/>
    <hyperlink ref="H20" r:id="rId19" xr:uid="{00000000-0004-0000-0100-000012000000}"/>
    <hyperlink ref="H21" r:id="rId20" xr:uid="{00000000-0004-0000-0100-000013000000}"/>
    <hyperlink ref="H22" r:id="rId21" xr:uid="{00000000-0004-0000-0100-000014000000}"/>
    <hyperlink ref="H23" r:id="rId22" xr:uid="{00000000-0004-0000-0100-000015000000}"/>
    <hyperlink ref="H24" r:id="rId23" xr:uid="{00000000-0004-0000-0100-000016000000}"/>
    <hyperlink ref="H25" r:id="rId24" xr:uid="{00000000-0004-0000-0100-000017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"/>
  <sheetViews>
    <sheetView zoomScale="97" zoomScaleNormal="97" workbookViewId="0">
      <selection activeCell="I11" sqref="I11"/>
    </sheetView>
  </sheetViews>
  <sheetFormatPr defaultColWidth="10.140625" defaultRowHeight="12.75"/>
  <cols>
    <col min="1" max="1" width="14.5703125" customWidth="1"/>
    <col min="2" max="2" width="22.7109375" customWidth="1"/>
    <col min="3" max="3" width="27.140625" customWidth="1"/>
    <col min="4" max="4" width="25.140625" customWidth="1"/>
    <col min="7" max="7" width="30" customWidth="1"/>
  </cols>
  <sheetData>
    <row r="1" spans="1:9" ht="13.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155</v>
      </c>
      <c r="G1" t="s">
        <v>7</v>
      </c>
      <c r="H1" t="s">
        <v>8</v>
      </c>
      <c r="I1" t="s">
        <v>156</v>
      </c>
    </row>
    <row r="2" spans="1:9" ht="16.149999999999999">
      <c r="A2" t="s">
        <v>99</v>
      </c>
      <c r="B2" t="s">
        <v>10</v>
      </c>
      <c r="C2" t="s">
        <v>100</v>
      </c>
      <c r="D2" t="s">
        <v>101</v>
      </c>
      <c r="E2">
        <v>2</v>
      </c>
      <c r="F2" s="2">
        <v>15</v>
      </c>
      <c r="G2" t="s">
        <v>158</v>
      </c>
      <c r="H2" s="3" t="s">
        <v>159</v>
      </c>
      <c r="I2" t="s">
        <v>103</v>
      </c>
    </row>
    <row r="3" spans="1:9" ht="16.149999999999999">
      <c r="A3" t="s">
        <v>104</v>
      </c>
      <c r="B3" t="s">
        <v>105</v>
      </c>
      <c r="C3" t="s">
        <v>106</v>
      </c>
      <c r="D3" t="s">
        <v>107</v>
      </c>
      <c r="E3">
        <v>1</v>
      </c>
      <c r="F3" s="4">
        <v>72.41</v>
      </c>
      <c r="G3" t="s">
        <v>108</v>
      </c>
      <c r="H3" s="3" t="s">
        <v>109</v>
      </c>
      <c r="I3" t="s">
        <v>160</v>
      </c>
    </row>
    <row r="4" spans="1:9" ht="16.149999999999999">
      <c r="A4" t="s">
        <v>99</v>
      </c>
      <c r="B4" t="s">
        <v>14</v>
      </c>
      <c r="C4" t="s">
        <v>110</v>
      </c>
      <c r="D4" t="s">
        <v>111</v>
      </c>
      <c r="E4">
        <v>2</v>
      </c>
      <c r="F4" s="4">
        <v>32.4</v>
      </c>
      <c r="G4" t="s">
        <v>112</v>
      </c>
      <c r="H4" s="3" t="s">
        <v>113</v>
      </c>
    </row>
    <row r="5" spans="1:9" ht="13.9">
      <c r="A5" t="s">
        <v>104</v>
      </c>
      <c r="B5" t="s">
        <v>114</v>
      </c>
      <c r="C5" t="s">
        <v>115</v>
      </c>
      <c r="D5" t="s">
        <v>116</v>
      </c>
      <c r="E5">
        <v>1</v>
      </c>
      <c r="F5" s="4">
        <v>319</v>
      </c>
      <c r="G5" t="s">
        <v>161</v>
      </c>
      <c r="H5" s="3" t="s">
        <v>162</v>
      </c>
    </row>
    <row r="6" spans="1:9" ht="16.149999999999999">
      <c r="A6" t="s">
        <v>119</v>
      </c>
      <c r="B6" t="s">
        <v>29</v>
      </c>
      <c r="C6" t="s">
        <v>120</v>
      </c>
      <c r="D6" t="s">
        <v>121</v>
      </c>
      <c r="E6">
        <v>2</v>
      </c>
      <c r="F6">
        <v>4.26</v>
      </c>
      <c r="G6" t="s">
        <v>122</v>
      </c>
      <c r="H6" t="s">
        <v>123</v>
      </c>
    </row>
    <row r="7" spans="1:9" ht="16.350000000000001">
      <c r="A7" t="s">
        <v>99</v>
      </c>
      <c r="B7" t="s">
        <v>114</v>
      </c>
      <c r="C7" s="1" t="s">
        <v>124</v>
      </c>
      <c r="D7" t="s">
        <v>125</v>
      </c>
      <c r="E7">
        <v>0</v>
      </c>
      <c r="G7" t="s">
        <v>67</v>
      </c>
    </row>
    <row r="8" spans="1:9" ht="16.149999999999999">
      <c r="A8" t="s">
        <v>126</v>
      </c>
      <c r="B8" t="s">
        <v>127</v>
      </c>
      <c r="C8" t="s">
        <v>128</v>
      </c>
      <c r="D8" t="s">
        <v>129</v>
      </c>
      <c r="E8">
        <v>1</v>
      </c>
      <c r="F8">
        <v>4.49</v>
      </c>
      <c r="G8" t="s">
        <v>130</v>
      </c>
      <c r="H8" t="s">
        <v>131</v>
      </c>
    </row>
    <row r="9" spans="1:9" ht="16.149999999999999">
      <c r="A9" t="s">
        <v>132</v>
      </c>
      <c r="B9" t="s">
        <v>133</v>
      </c>
      <c r="C9">
        <v>852</v>
      </c>
      <c r="D9" t="s">
        <v>134</v>
      </c>
      <c r="E9">
        <v>0</v>
      </c>
      <c r="G9" t="s">
        <v>67</v>
      </c>
      <c r="H9" t="s">
        <v>135</v>
      </c>
    </row>
    <row r="10" spans="1:9" ht="13.9">
      <c r="A10" t="s">
        <v>136</v>
      </c>
      <c r="E10">
        <v>0</v>
      </c>
      <c r="G10" t="s">
        <v>67</v>
      </c>
    </row>
    <row r="11" spans="1:9" ht="16.149999999999999">
      <c r="A11" t="s">
        <v>137</v>
      </c>
      <c r="B11" t="s">
        <v>133</v>
      </c>
      <c r="C11">
        <v>1781</v>
      </c>
      <c r="D11" t="s">
        <v>138</v>
      </c>
      <c r="E11">
        <v>2</v>
      </c>
      <c r="F11">
        <v>19.899999999999999</v>
      </c>
      <c r="H11" t="s">
        <v>139</v>
      </c>
    </row>
  </sheetData>
  <hyperlinks>
    <hyperlink ref="H2" r:id="rId1" xr:uid="{00000000-0004-0000-0200-000000000000}"/>
    <hyperlink ref="I2" r:id="rId2" xr:uid="{00000000-0004-0000-0200-000001000000}"/>
    <hyperlink ref="H3" r:id="rId3" xr:uid="{00000000-0004-0000-0200-000002000000}"/>
    <hyperlink ref="I3" r:id="rId4" xr:uid="{00000000-0004-0000-0200-000003000000}"/>
    <hyperlink ref="H4" r:id="rId5" xr:uid="{00000000-0004-0000-0200-000004000000}"/>
    <hyperlink ref="H6" r:id="rId6" xr:uid="{00000000-0004-0000-0200-000005000000}"/>
    <hyperlink ref="H8" r:id="rId7" xr:uid="{00000000-0004-0000-0200-000006000000}"/>
    <hyperlink ref="H9" r:id="rId8" xr:uid="{00000000-0004-0000-0200-000007000000}"/>
    <hyperlink ref="H11" r:id="rId9" xr:uid="{00000000-0004-0000-0200-000008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zoomScale="97" zoomScaleNormal="97" workbookViewId="0">
      <selection activeCell="A5" sqref="A5"/>
    </sheetView>
  </sheetViews>
  <sheetFormatPr defaultColWidth="8.5703125" defaultRowHeight="15"/>
  <cols>
    <col min="1" max="1" width="25.7109375" customWidth="1"/>
    <col min="2" max="2" width="36.5703125" customWidth="1"/>
    <col min="3" max="3" width="24.85546875" customWidth="1"/>
    <col min="4" max="4" width="67" customWidth="1"/>
    <col min="5" max="5" width="9.140625" customWidth="1"/>
    <col min="7" max="7" width="75.42578125" customWidth="1"/>
    <col min="8" max="8" width="71.855468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155</v>
      </c>
      <c r="G1" t="s">
        <v>7</v>
      </c>
      <c r="H1" t="s">
        <v>8</v>
      </c>
    </row>
    <row r="2" spans="1:8" ht="18.75" customHeight="1">
      <c r="A2" t="s">
        <v>163</v>
      </c>
      <c r="B2" t="s">
        <v>10</v>
      </c>
      <c r="C2" t="s">
        <v>100</v>
      </c>
      <c r="D2" t="s">
        <v>101</v>
      </c>
      <c r="E2">
        <v>1</v>
      </c>
      <c r="F2" s="2">
        <v>15</v>
      </c>
      <c r="G2" t="s">
        <v>158</v>
      </c>
      <c r="H2" s="3" t="s">
        <v>159</v>
      </c>
    </row>
    <row r="3" spans="1:8" ht="16.350000000000001">
      <c r="A3" t="s">
        <v>164</v>
      </c>
      <c r="B3" t="s">
        <v>105</v>
      </c>
      <c r="C3" t="s">
        <v>106</v>
      </c>
      <c r="D3" t="s">
        <v>107</v>
      </c>
      <c r="E3">
        <v>1</v>
      </c>
      <c r="F3" s="4">
        <v>72.41</v>
      </c>
      <c r="G3" t="s">
        <v>165</v>
      </c>
      <c r="H3" s="3" t="s">
        <v>109</v>
      </c>
    </row>
    <row r="4" spans="1:8" ht="16.350000000000001">
      <c r="A4" t="s">
        <v>166</v>
      </c>
      <c r="B4" t="s">
        <v>14</v>
      </c>
      <c r="C4" t="s">
        <v>15</v>
      </c>
      <c r="D4" t="s">
        <v>167</v>
      </c>
      <c r="E4">
        <v>1</v>
      </c>
      <c r="F4" s="4">
        <v>5.92</v>
      </c>
      <c r="G4" t="s">
        <v>168</v>
      </c>
      <c r="H4" s="3" t="s">
        <v>169</v>
      </c>
    </row>
    <row r="5" spans="1:8" ht="16.350000000000001">
      <c r="A5" t="s">
        <v>170</v>
      </c>
      <c r="B5" t="s">
        <v>114</v>
      </c>
      <c r="C5" t="s">
        <v>171</v>
      </c>
      <c r="D5" t="s">
        <v>116</v>
      </c>
      <c r="E5">
        <v>1</v>
      </c>
      <c r="F5" s="4">
        <v>299.3</v>
      </c>
      <c r="G5" t="s">
        <v>172</v>
      </c>
      <c r="H5" s="3" t="s">
        <v>173</v>
      </c>
    </row>
    <row r="6" spans="1:8" ht="16.5" customHeight="1">
      <c r="A6" t="s">
        <v>174</v>
      </c>
      <c r="B6" t="s">
        <v>133</v>
      </c>
      <c r="C6" t="s">
        <v>175</v>
      </c>
      <c r="D6" t="s">
        <v>176</v>
      </c>
      <c r="E6">
        <v>1</v>
      </c>
      <c r="F6" s="4">
        <v>9.9499999999999993</v>
      </c>
      <c r="G6" t="s">
        <v>177</v>
      </c>
      <c r="H6" s="3" t="s">
        <v>178</v>
      </c>
    </row>
    <row r="7" spans="1:8" ht="16.350000000000001">
      <c r="A7" t="s">
        <v>179</v>
      </c>
      <c r="B7" t="s">
        <v>133</v>
      </c>
      <c r="C7" t="s">
        <v>180</v>
      </c>
      <c r="D7" t="s">
        <v>181</v>
      </c>
      <c r="E7">
        <v>1</v>
      </c>
      <c r="F7" s="4">
        <v>19.95</v>
      </c>
      <c r="G7" t="s">
        <v>182</v>
      </c>
      <c r="H7" s="3" t="s">
        <v>183</v>
      </c>
    </row>
    <row r="8" spans="1:8" ht="16.350000000000001">
      <c r="A8" t="s">
        <v>184</v>
      </c>
      <c r="B8" t="s">
        <v>34</v>
      </c>
      <c r="C8" t="s">
        <v>35</v>
      </c>
      <c r="D8" t="s">
        <v>185</v>
      </c>
      <c r="E8">
        <v>1</v>
      </c>
      <c r="F8" s="4">
        <v>0.76</v>
      </c>
      <c r="G8" t="s">
        <v>186</v>
      </c>
      <c r="H8" s="3" t="s">
        <v>187</v>
      </c>
    </row>
    <row r="9" spans="1:8" ht="16.350000000000001">
      <c r="A9" t="s">
        <v>188</v>
      </c>
      <c r="B9" t="s">
        <v>19</v>
      </c>
      <c r="C9" t="s">
        <v>189</v>
      </c>
      <c r="D9" t="s">
        <v>190</v>
      </c>
      <c r="E9">
        <v>1</v>
      </c>
      <c r="F9" s="4">
        <v>0.99</v>
      </c>
      <c r="G9" t="s">
        <v>191</v>
      </c>
      <c r="H9" s="3" t="s">
        <v>192</v>
      </c>
    </row>
    <row r="10" spans="1:8" ht="16.350000000000001">
      <c r="A10" t="s">
        <v>193</v>
      </c>
      <c r="B10" t="s">
        <v>19</v>
      </c>
      <c r="C10" t="s">
        <v>38</v>
      </c>
      <c r="D10" t="s">
        <v>194</v>
      </c>
      <c r="E10">
        <v>1</v>
      </c>
      <c r="F10" s="4">
        <v>2.42</v>
      </c>
      <c r="G10" t="s">
        <v>195</v>
      </c>
      <c r="H10" s="3" t="s">
        <v>196</v>
      </c>
    </row>
    <row r="11" spans="1:8" ht="16.350000000000001">
      <c r="A11" t="s">
        <v>197</v>
      </c>
      <c r="B11" t="s">
        <v>198</v>
      </c>
      <c r="C11" t="s">
        <v>199</v>
      </c>
      <c r="D11" t="s">
        <v>200</v>
      </c>
      <c r="E11">
        <v>1</v>
      </c>
      <c r="F11" s="4">
        <v>1.07</v>
      </c>
      <c r="G11" t="s">
        <v>201</v>
      </c>
      <c r="H11" s="3" t="s">
        <v>202</v>
      </c>
    </row>
    <row r="12" spans="1:8" ht="16.350000000000001">
      <c r="A12" t="s">
        <v>203</v>
      </c>
      <c r="B12" t="s">
        <v>19</v>
      </c>
      <c r="C12" t="s">
        <v>41</v>
      </c>
      <c r="D12" t="s">
        <v>204</v>
      </c>
      <c r="E12">
        <v>1</v>
      </c>
      <c r="F12" s="4">
        <v>1.86</v>
      </c>
      <c r="G12" t="s">
        <v>205</v>
      </c>
      <c r="H12" s="3" t="s">
        <v>206</v>
      </c>
    </row>
    <row r="13" spans="1:8">
      <c r="F13" s="2"/>
    </row>
    <row r="14" spans="1:8">
      <c r="A14" t="s">
        <v>207</v>
      </c>
      <c r="B14" s="2">
        <f>SUM(F2:F12)</f>
        <v>429.63</v>
      </c>
    </row>
    <row r="15" spans="1:8">
      <c r="A15" t="s">
        <v>208</v>
      </c>
      <c r="D15" s="4">
        <f>F2+F3+F4+F5+F6+F8+F10</f>
        <v>405.76</v>
      </c>
    </row>
  </sheetData>
  <hyperlinks>
    <hyperlink ref="H2" r:id="rId1" xr:uid="{00000000-0004-0000-0300-000000000000}"/>
    <hyperlink ref="H3" r:id="rId2" xr:uid="{00000000-0004-0000-0300-000001000000}"/>
    <hyperlink ref="H4" r:id="rId3" xr:uid="{00000000-0004-0000-0300-000002000000}"/>
    <hyperlink ref="H5" r:id="rId4" xr:uid="{00000000-0004-0000-0300-000003000000}"/>
    <hyperlink ref="H6" r:id="rId5" xr:uid="{00000000-0004-0000-0300-000004000000}"/>
    <hyperlink ref="H7" r:id="rId6" xr:uid="{00000000-0004-0000-0300-000005000000}"/>
    <hyperlink ref="H8" r:id="rId7" xr:uid="{00000000-0004-0000-0300-000006000000}"/>
    <hyperlink ref="H9" r:id="rId8" xr:uid="{00000000-0004-0000-0300-000007000000}"/>
    <hyperlink ref="H10" r:id="rId9" xr:uid="{00000000-0004-0000-0300-000008000000}"/>
    <hyperlink ref="H11" r:id="rId10" xr:uid="{00000000-0004-0000-0300-000009000000}"/>
    <hyperlink ref="H12" r:id="rId11" xr:uid="{00000000-0004-0000-0300-00000A000000}"/>
  </hyperlink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Morell</dc:creator>
  <cp:keywords/>
  <dc:description/>
  <cp:lastModifiedBy>Derrick Peabody</cp:lastModifiedBy>
  <cp:revision>4</cp:revision>
  <dcterms:created xsi:type="dcterms:W3CDTF">2026-09-07T14:38:13Z</dcterms:created>
  <dcterms:modified xsi:type="dcterms:W3CDTF">2026-10-06T17:19:23Z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0x010100B5007DD11C948240B9D9E469636A45E7</vt:lpwstr>
  </property>
</Properties>
</file>