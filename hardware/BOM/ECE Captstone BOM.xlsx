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Final" sheetId="1" state="visible" r:id="rId3"/>
    <sheet name="BOM PCB" sheetId="2" state="visible" r:id="rId4"/>
    <sheet name="BOM Breadboard" sheetId="3" state="visible" r:id="rId5"/>
    <sheet name="Sheet1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<sst xmlns="http://schemas.openxmlformats.org/spreadsheetml/2006/main" count="475" uniqueCount="211">
  <si>
    <t xml:space="preserve">Category</t>
  </si>
  <si>
    <t xml:space="preserve">Manufacturer</t>
  </si>
  <si>
    <t xml:space="preserve">Part Number</t>
  </si>
  <si>
    <t xml:space="preserve">Description</t>
  </si>
  <si>
    <t xml:space="preserve">QTY</t>
  </si>
  <si>
    <t xml:space="preserve">Unit Price</t>
  </si>
  <si>
    <t xml:space="preserve">Price Each</t>
  </si>
  <si>
    <t xml:space="preserve">Notes</t>
  </si>
  <si>
    <t xml:space="preserve">Source</t>
  </si>
  <si>
    <t xml:space="preserve">SMD</t>
  </si>
  <si>
    <t xml:space="preserve">Espressif Systems</t>
  </si>
  <si>
    <t xml:space="preserve">ESP32-S3-WROOM-1U-N16R8</t>
  </si>
  <si>
    <t xml:space="preserve">Bluetooth, WiFi 802.11b/g/n, Bluetooth v5.0 Transceiver Module 2.4GHz Antenna Not Included, U.FL Surface Mount</t>
  </si>
  <si>
    <t xml:space="preserve">https://www.digikey.com/en/products/detail/espressif-systems/ESP32-S3-WROOM-1U-N8R8/16162638</t>
  </si>
  <si>
    <t xml:space="preserve">Bosch Sensortec</t>
  </si>
  <si>
    <t xml:space="preserve">BMI088</t>
  </si>
  <si>
    <t xml:space="preserve">ACCELEROMETER 16LGA</t>
  </si>
  <si>
    <t xml:space="preserve">OUT OF STOCK,</t>
  </si>
  <si>
    <t xml:space="preserve">https://www.digikey.com/en/products/detail/bosch-sensortec/BMI088/8634936</t>
  </si>
  <si>
    <t xml:space="preserve">Texas Instruments</t>
  </si>
  <si>
    <t xml:space="preserve">TPS22919DCKR</t>
  </si>
  <si>
    <t xml:space="preserve">Load Sw</t>
  </si>
  <si>
    <t xml:space="preserve">Cut tape</t>
  </si>
  <si>
    <t xml:space="preserve">https://www.digikey.com/en/products/detail/texas-instruments/TPS22919DCKR/10434801</t>
  </si>
  <si>
    <t xml:space="preserve">Connector</t>
  </si>
  <si>
    <t xml:space="preserve">Amphenol ICC (FCI)</t>
  </si>
  <si>
    <t xml:space="preserve">10176546-00011LF</t>
  </si>
  <si>
    <t xml:space="preserve">USB-C (USB TYPE-C) Receptacle Connector 24 (16+8 Dummy) Position Through Hole, Right Angle</t>
  </si>
  <si>
    <t xml:space="preserve">https://www.digikey.com/en/products/detail/amphenol-cs-fci/10176546-00011LF/26473252</t>
  </si>
  <si>
    <t xml:space="preserve">JST</t>
  </si>
  <si>
    <t xml:space="preserve">SM08B-SURS-TF</t>
  </si>
  <si>
    <t xml:space="preserve">JST SUR 8 position right angle connector SMT</t>
  </si>
  <si>
    <t xml:space="preserve">For Lidar May also use vertical version if desired(BM08B-SURS-TF)</t>
  </si>
  <si>
    <t xml:space="preserve">https://www.digikey.com/en/products/detail/jst-sales-america-inc/SM08B-SURS-TF/1634781</t>
  </si>
  <si>
    <t xml:space="preserve">Microchip Technology</t>
  </si>
  <si>
    <t xml:space="preserve">MCP73831T-2ACI/OT</t>
  </si>
  <si>
    <t xml:space="preserve">Lion CCCV Charger </t>
  </si>
  <si>
    <t xml:space="preserve">https://www.digikey.com/en/products/detail/microchip-technology/MCP73831T-2ACI-OT/964301</t>
  </si>
  <si>
    <t xml:space="preserve">LM27313XMF/NOPB</t>
  </si>
  <si>
    <t xml:space="preserve">IC REG BOOST ADJ 800MA SOT23-5</t>
  </si>
  <si>
    <t xml:space="preserve">https://www.digikey.com/en/products/detail/texas-instruments/LM27313XMF-NOPB/1590046</t>
  </si>
  <si>
    <t xml:space="preserve">TPS62162DSGR</t>
  </si>
  <si>
    <t xml:space="preserve">IC REG BUCK 3.3V 1A 8WSON</t>
  </si>
  <si>
    <t xml:space="preserve">https://www.digikey.com/en/products/detail/texas-instruments/TPS62162DSGR/2833447</t>
  </si>
  <si>
    <t xml:space="preserve">S2B-PH-K-S</t>
  </si>
  <si>
    <t xml:space="preserve">JST-PH 2 pos</t>
  </si>
  <si>
    <t xml:space="preserve">for battery connection</t>
  </si>
  <si>
    <t xml:space="preserve">https://www.digikey.com/en/products/detail/jst-sales-america-inc/S2B-PH-K-S/926626</t>
  </si>
  <si>
    <t xml:space="preserve">Passives</t>
  </si>
  <si>
    <t xml:space="preserve">onsemi</t>
  </si>
  <si>
    <t xml:space="preserve">MBR0520LT3G</t>
  </si>
  <si>
    <t xml:space="preserve">DIODE SCHOTTKY 20V 500MA SOD123</t>
  </si>
  <si>
    <t xml:space="preserve">https://www.digikey.com/en/products/detail/onsemi/MBR0520LT3G/1477142</t>
  </si>
  <si>
    <t xml:space="preserve">Murata Electronics</t>
  </si>
  <si>
    <t xml:space="preserve">GRM033R61A104ME15D</t>
  </si>
  <si>
    <t xml:space="preserve">CAP CER 0.1UF 10V X5R 0201</t>
  </si>
  <si>
    <t xml:space="preserve">https://www.digikey.com/en/products/detail/murata-electronics/GRM033R61A104ME15D/2175191</t>
  </si>
  <si>
    <t xml:space="preserve">GRT188R61C106KE13D</t>
  </si>
  <si>
    <t xml:space="preserve">CAP CER 10UF 16V X5R 0603</t>
  </si>
  <si>
    <t xml:space="preserve">https://www.digikey.com/en/products/detail/murata-electronics/GRT188R61C106KE13D/5416739</t>
  </si>
  <si>
    <t xml:space="preserve">GCM188R71E105KA64D</t>
  </si>
  <si>
    <t xml:space="preserve">CAP CER 1UF 25V X7R 0603</t>
  </si>
  <si>
    <t xml:space="preserve">https://www.digikey.com/en/products/detail/murata-electronics/GCM188R71E105KA64D/4903956</t>
  </si>
  <si>
    <t xml:space="preserve">GRM188R61E475KE11D</t>
  </si>
  <si>
    <t xml:space="preserve">4.7 µF ±10% 25V Ceramic Capacitor X5R 0603 (1608 Metric)</t>
  </si>
  <si>
    <t xml:space="preserve">https://www.digikey.com/en/products/detail/murata-electronics/GRM188R61E475KE11D/3900465</t>
  </si>
  <si>
    <t xml:space="preserve">LED, THT, 5mm</t>
  </si>
  <si>
    <t xml:space="preserve">do not purchase</t>
  </si>
  <si>
    <t xml:space="preserve">TDK</t>
  </si>
  <si>
    <t xml:space="preserve">VLS6045EX-100M</t>
  </si>
  <si>
    <t xml:space="preserve">FIXED IND 10UH 3.4A 47 MOHM SMD</t>
  </si>
  <si>
    <t xml:space="preserve">cut tape</t>
  </si>
  <si>
    <t xml:space="preserve">https://www.digikey.com/en/products/detail/tdk/VLS6045EX-100M/5057822</t>
  </si>
  <si>
    <t xml:space="preserve">VLS252012ET-2R2M</t>
  </si>
  <si>
    <t xml:space="preserve">FIXED IND 2.2UH 1.3A 154 MOHM</t>
  </si>
  <si>
    <t xml:space="preserve">https://www.digikey.com/en/products/detail/tdk/VLS252012ET-2R2M/2465978</t>
  </si>
  <si>
    <t xml:space="preserve">YAGEO</t>
  </si>
  <si>
    <t xml:space="preserve">RC0402FR-0710KL</t>
  </si>
  <si>
    <t xml:space="preserve">10 kOhms ±1% 0.063W, 1/16W Chip Resistor 0402 (1005 Metric) Moisture Resistant Thick Film</t>
  </si>
  <si>
    <t xml:space="preserve">https://www.digikey.com/en/products/detail/yageo/RC0402FR-0710KL/726523</t>
  </si>
  <si>
    <t xml:space="preserve">RC0402FR-071KL</t>
  </si>
  <si>
    <t xml:space="preserve">1 kOhms ±1% 0.063W, 1/16W Chip Resistor 0402 (1005 Metric) Moisture Resistant Thick Film</t>
  </si>
  <si>
    <t xml:space="preserve">https://www.digikey.com/en/products/detail/yageo/RC0402FR-071KL/726513</t>
  </si>
  <si>
    <t xml:space="preserve">RC0402JR-074K7L</t>
  </si>
  <si>
    <t xml:space="preserve">RES 4.7K OHM 5% 1/16W 0402</t>
  </si>
  <si>
    <t xml:space="preserve">https://www.digikey.com/en/products/detail/yageo/RC0402JR-074K7L/726477</t>
  </si>
  <si>
    <t xml:space="preserve">RC0402FR-075K1L</t>
  </si>
  <si>
    <t xml:space="preserve">5.1 kOhms ±1% 0.063W, 1/16W Chip Resistor 0402 (1005 Metric) Moisture Resistant Thick Film</t>
  </si>
  <si>
    <t xml:space="preserve">https://www.digikey.com/en/products/detail/yageo/RC0402FR-075K1L/726624</t>
  </si>
  <si>
    <t xml:space="preserve">AC0402FR-07309KL</t>
  </si>
  <si>
    <t xml:space="preserve">309 kOhms ±1% 0.063W, 1/16W Chip Resistor 0402 (1005 Metric) Automotive AEC-Q200, Moisture Resistant Thick Film</t>
  </si>
  <si>
    <t xml:space="preserve">https://www.digikey.com/en/products/detail/yageo/AC0402FR-07309KL/5895272</t>
  </si>
  <si>
    <t xml:space="preserve">RC0402FR-07100KL</t>
  </si>
  <si>
    <t xml:space="preserve">RES 100K OHM 1% 1/16W 0402</t>
  </si>
  <si>
    <t xml:space="preserve">https://www.digikey.com/en/products/detail/yageo/RC0402FR-07100KL/726526</t>
  </si>
  <si>
    <t xml:space="preserve">C&amp;K</t>
  </si>
  <si>
    <t xml:space="preserve">PTS645SH43SMTR92 LFS</t>
  </si>
  <si>
    <t xml:space="preserve">SWITCH TACTILE SPST-NO 0.05A 12V</t>
  </si>
  <si>
    <t xml:space="preserve">https://www.digikey.com/en/products/detail/c-k/PTS645SH43SMTR92-LFS/1145472</t>
  </si>
  <si>
    <t xml:space="preserve">Breakout</t>
  </si>
  <si>
    <t xml:space="preserve">ESP32-S3-DEVKITC-1U-N8R8</t>
  </si>
  <si>
    <t xml:space="preserve">ESP32-S3 development board using ESP32-S3-WROOM-1U-N8R8; Wi-Fi + BLE</t>
  </si>
  <si>
    <t xml:space="preserve">the module on it is ESP32-S3-WROOM-1U-N8R8.</t>
  </si>
  <si>
    <t xml:space="preserve">https://www.mouser.com/en/ProductDetail/Espressif-Systems/ESP32-S3-DevKitC-1U-N8R8?qs=Li%252BoUPsLEnv4qqHEsdK%252Bbw%3D%3D</t>
  </si>
  <si>
    <t xml:space="preserve">Final</t>
  </si>
  <si>
    <t xml:space="preserve">TE Connectivity Measurement Specialties</t>
  </si>
  <si>
    <t xml:space="preserve">4525DO-DS5AI001DP</t>
  </si>
  <si>
    <t xml:space="preserve">1 psi differential pressure sensor, 14-bit, dual 0.14 in barbed ports</t>
  </si>
  <si>
    <t xml:space="preserve">This will be the final soldered part, but we can test using small clamps/leads to the through-hole pins .5 V supply; differential pressure; intended for pitot/static airspeed measurement.</t>
  </si>
  <si>
    <t xml:space="preserve">https://www.digikey.com/en/products/detail/te-connectivity-measurement-specialties/4525DO-DS5AI001DP/3569051 </t>
  </si>
  <si>
    <t xml:space="preserve">828-SHUTTLEBOARD3.0BMI088-ND</t>
  </si>
  <si>
    <t xml:space="preserve">Breakout: 6-axis accelerometer + gyroscope IMU, I2C/SPI, 16-LGA</t>
  </si>
  <si>
    <t xml:space="preserve">Breakout version of the part to be used (BMI088)</t>
  </si>
  <si>
    <t xml:space="preserve">https://www.digikey.com/en/products/detail/bosch-sensortec/SHUTTLE-BOARD-3-0-BMI088/14617528</t>
  </si>
  <si>
    <t xml:space="preserve">LightWare LiDAR Inc.</t>
  </si>
  <si>
    <t xml:space="preserve">SF20/C</t>
  </si>
  <si>
    <t xml:space="preserve">100 m-class optical distance sensor, I2C / serial, 4.5-5.5 V</t>
  </si>
  <si>
    <t xml:space="preserve">Please order at mouser, out of stock at digikey.</t>
  </si>
  <si>
    <t xml:space="preserve">https://www.digikey.com/en/products/detail/lightware-lidar-inc/SF20-C/15848650</t>
  </si>
  <si>
    <t xml:space="preserve">Harness (Final)</t>
  </si>
  <si>
    <t xml:space="preserve">A08SUR08SUR32W102B</t>
  </si>
  <si>
    <t xml:space="preserve">JST SUR 8 pos cable 4” </t>
  </si>
  <si>
    <t xml:space="preserve">I think 1:N is correct based on the provided datasheet</t>
  </si>
  <si>
    <t xml:space="preserve">https://www.digikey.com/en/products/detail/jst-sales-america-inc/A08SUR08SUR32W102B/9947457</t>
  </si>
  <si>
    <t xml:space="preserve">ACC_BOB_08SUR-32S</t>
  </si>
  <si>
    <t xml:space="preserve">lightware breakout board</t>
  </si>
  <si>
    <t xml:space="preserve">Antenna (Final)</t>
  </si>
  <si>
    <t xml:space="preserve">Pulse Electronics</t>
  </si>
  <si>
    <t xml:space="preserve">W1049B050</t>
  </si>
  <si>
    <t xml:space="preserve">RF ANTENNA Bluetooth, Wi-Fi, WLAN, Zigbee™ Whip, Tilt U.FL (UMCC), I-PEX MHF1 Connector Mount</t>
  </si>
  <si>
    <t xml:space="preserve">U.FL direct</t>
  </si>
  <si>
    <t xml:space="preserve">https://www.digikey.com/en/products/detail/pulse-electronics/W1049B050/2267887</t>
  </si>
  <si>
    <t xml:space="preserve">Coax Adapter</t>
  </si>
  <si>
    <t xml:space="preserve">Adafruit</t>
  </si>
  <si>
    <t xml:space="preserve">RP-SMA to uFL/u.FL/IPX/IPEX RF Adapter Cable</t>
  </si>
  <si>
    <t xml:space="preserve">https://www.digikey.com/en/products/detail/adafruit-industries-llc/852/6827042</t>
  </si>
  <si>
    <t xml:space="preserve">Pneumatic Tubing</t>
  </si>
  <si>
    <t xml:space="preserve">Tubing 5ft</t>
  </si>
  <si>
    <t xml:space="preserve">https://www.mcmaster.com/2121T15-2121T151/</t>
  </si>
  <si>
    <t xml:space="preserve">Battery (Final)</t>
  </si>
  <si>
    <t xml:space="preserve">18650 3.7 V Lithium-Ion Battery Rechargeable (Secondary) 2.2Ah</t>
  </si>
  <si>
    <t xml:space="preserve">https://www.digikey.com/en/products/detail/adafruit-industries-llc/1781/5054543</t>
  </si>
  <si>
    <t xml:space="preserve">Testing</t>
  </si>
  <si>
    <t xml:space="preserve">DFRobot</t>
  </si>
  <si>
    <t xml:space="preserve">KIT0198-US</t>
  </si>
  <si>
    <t xml:space="preserve">GNSS-RTK High Precision Positioning Kit with LoRa (US 915 MHz, GPS / GLONASS / Galileo / BDS / QZSS)</t>
  </si>
  <si>
    <t xml:space="preserve">for calibrating sensors</t>
  </si>
  <si>
    <t xml:space="preserve">https://www.digikey.com/en/products/detail/dfrobot/KIT0198-US/28531129</t>
  </si>
  <si>
    <t xml:space="preserve">PCB</t>
  </si>
  <si>
    <t xml:space="preserve">PCB Estimate</t>
  </si>
  <si>
    <t xml:space="preserve">PCB with Stencil estimate from JLCPCB and PCBWay</t>
  </si>
  <si>
    <t xml:space="preserve">Estimate only; not for immediate purchase, unit cost is actually qty 5 pcbs totalling $90</t>
  </si>
  <si>
    <t xml:space="preserve">Solder Paste</t>
  </si>
  <si>
    <t xml:space="preserve">Chip Quik Inc.</t>
  </si>
  <si>
    <t xml:space="preserve">NC191LT10</t>
  </si>
  <si>
    <t xml:space="preserve">https://www.digikey.com/en/products/detail/chip-quik-inc/SMD291AXT4/8543521</t>
  </si>
  <si>
    <t xml:space="preserve">Total</t>
  </si>
  <si>
    <t xml:space="preserve">Price</t>
  </si>
  <si>
    <t xml:space="preserve">Source2</t>
  </si>
  <si>
    <t xml:space="preserve">https://www.mouser.com/en/ProductDetail/Bosch-Sensortec/BMI088?qs=f9yNj16SXrIMFspTV6RB6Q%3D%3D</t>
  </si>
  <si>
    <t xml:space="preserve">Linked DigiKey board is the DevKitC; the module on it is ESP32-S3-WROOM-1U-N8R8.</t>
  </si>
  <si>
    <t xml:space="preserve">https://www.digikey.com/en/products/detail/espressif-systems/ESP32-S3-DEVKITC-1U-N8R8/16162636 </t>
  </si>
  <si>
    <t xml:space="preserve">https://www.mouser.com/en/ProductDetail/TE-Connectivity-Measurement-Specialties/4525DO-DS5AI001DP?qs=oFx6pF86PmDUpUCTX7loEA%3D%3D</t>
  </si>
  <si>
    <t xml:space="preserve">Consider SF20/C instead, in stock at mouser</t>
  </si>
  <si>
    <t xml:space="preserve">https://www.mouser.com/en/ProductDetail/LightWare-LiDAR/SF20-C?qs=iLbezkQI%252Bsj8XPNk6jtsvg%3D%3D&amp;srsltid=AU7gw4XR5WTi284s_tt1DDkMlwxFX9LVR6RI9DoVeR128hiWizheu0jW</t>
  </si>
  <si>
    <t xml:space="preserve">MCU</t>
  </si>
  <si>
    <t xml:space="preserve">Airspeed</t>
  </si>
  <si>
    <t xml:space="preserve">5 V supply; differential pressure; intended for pitot/static airspeed measurement.</t>
  </si>
  <si>
    <t xml:space="preserve">IMU</t>
  </si>
  <si>
    <t xml:space="preserve">6-axis accelerometer + gyroscope IMU, I2C/SPI, 16-LGA</t>
  </si>
  <si>
    <t xml:space="preserve">Surface-mount part for final PCB; -40 C to +85 C operating range.</t>
  </si>
  <si>
    <t xml:space="preserve">https://www.digikey.com/en/products/detail/bosch-sensortec/BMI088/8634936 </t>
  </si>
  <si>
    <t xml:space="preserve">LiDAR</t>
  </si>
  <si>
    <t xml:space="preserve">LW20/C</t>
  </si>
  <si>
    <t xml:space="preserve">20 cm to 100 m sensing range; about 100 mA supply per DigiKey.</t>
  </si>
  <si>
    <t xml:space="preserve">https://www.digikey.com/en/products/detail/lightware-lidar-inc/LW20-C/15848653 </t>
  </si>
  <si>
    <t xml:space="preserve">Battery Option A</t>
  </si>
  <si>
    <t xml:space="preserve">Product ID 1781</t>
  </si>
  <si>
    <t xml:space="preserve">3.7 V 2200 mAh protected lithium-ion cylindrical battery with JST-PH</t>
  </si>
  <si>
    <t xml:space="preserve">Lower-cost/lower-capacity battery option.</t>
  </si>
  <si>
    <t xml:space="preserve">https://www.adafruit.com/product/1781 </t>
  </si>
  <si>
    <t xml:space="preserve">Battery Option B</t>
  </si>
  <si>
    <t xml:space="preserve">Product ID 354</t>
  </si>
  <si>
    <t xml:space="preserve">3.7 V 4400 mAh protected lithium-ion battery pack with JST connector</t>
  </si>
  <si>
    <t xml:space="preserve">Higher-capacity option; larger/heavier than 2200 mAh pack.</t>
  </si>
  <si>
    <t xml:space="preserve">https://www.adafruit.com/product/354 </t>
  </si>
  <si>
    <t xml:space="preserve">Battery Charger Option A</t>
  </si>
  <si>
    <t xml:space="preserve">Single-cell Li-Ion/Li-Poly charger IC, programmable charge current</t>
  </si>
  <si>
    <t xml:space="preserve">4.2 V single-cell charger; up to 500 mA charge current for this part.</t>
  </si>
  <si>
    <t xml:space="preserve">https://www.digikey.com/en/products/detail/microchip-technology/MCP73831T-2ACI-OT/964301 </t>
  </si>
  <si>
    <t xml:space="preserve">Battery Charger Option B</t>
  </si>
  <si>
    <t xml:space="preserve">BQ21040DBVR</t>
  </si>
  <si>
    <t xml:space="preserve">Single-cell Li-Ion/Li-Poly charger IC, programmable charging</t>
  </si>
  <si>
    <t xml:space="preserve">4.2 V single-cell charger; 6.45 V max supply.</t>
  </si>
  <si>
    <t xml:space="preserve">https://www.digikey.com/en/products/detail/texas-instruments/BQ21040DBVR/6036340 </t>
  </si>
  <si>
    <t xml:space="preserve">5 V Boost Regulator</t>
  </si>
  <si>
    <t xml:space="preserve">Adjustable boost regulator, 5 V minimum output setting, 800 mA switch</t>
  </si>
  <si>
    <t xml:space="preserve">2.7-14 V input; use external inductor/diode/capacitors per datasheet.</t>
  </si>
  <si>
    <t xml:space="preserve">https://www.digikey.com/en/products/detail/texas-instruments/LM27313XMF-NOPB/1590046 </t>
  </si>
  <si>
    <t xml:space="preserve">3.3 V Regulator Option A</t>
  </si>
  <si>
    <t xml:space="preserve">Semtech Corporation</t>
  </si>
  <si>
    <t xml:space="preserve">SC189ZSKTRT</t>
  </si>
  <si>
    <t xml:space="preserve">3.3 V fixed buck regulator, 1.5 A</t>
  </si>
  <si>
    <t xml:space="preserve">2.9-5.5 V input. Check dropout/operation near a discharged 1-cell Li-ion battery.</t>
  </si>
  <si>
    <t xml:space="preserve">https://www.digikey.com/en/products/detail/semtech-corporation/SC189ZSKTRT/2182360 </t>
  </si>
  <si>
    <t xml:space="preserve">3.3 V Regulator Option B</t>
  </si>
  <si>
    <t xml:space="preserve">3.3 V fixed buck regulator, 1 A</t>
  </si>
  <si>
    <t xml:space="preserve">3-17 V input. Check operation as battery approaches 3.3 V.</t>
  </si>
  <si>
    <t xml:space="preserve">https://www.digikey.com/en/products/detail/texas-instruments/TPS62162DSGR/2833447 </t>
  </si>
  <si>
    <t xml:space="preserve">Total (including alternative)</t>
  </si>
  <si>
    <t xml:space="preserve">Core total (ESP32 + airspeed + IMU + LiDAR + LiDAR connector + 2200mAh battery + MCP73831 + LM27313)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</si>
</sst>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\$#,##0_);[RED]&quot;($&quot;#,##0\)"/>
    <numFmt numFmtId="167" formatCode="\$#,##0.00_);[RED]&quot;($&quot;#,##0.00\)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igikey.com/en/products/detail/espressif-systems/ESP32-S3-WROOM-1U-N8R8/16162638" TargetMode="External"/><Relationship Id="rId2" Type="http://schemas.openxmlformats.org/officeDocument/2006/relationships/hyperlink" Target="https://www.digikey.com/en/products/detail/bosch-sensortec/BMI088/8634936" TargetMode="External"/><Relationship Id="rId3" Type="http://schemas.openxmlformats.org/officeDocument/2006/relationships/hyperlink" Target="https://www.digikey.com/en/products/detail/texas-instruments/TPS22919DCKR/10434801" TargetMode="External"/><Relationship Id="rId4" Type="http://schemas.openxmlformats.org/officeDocument/2006/relationships/hyperlink" Target="https://www.digikey.com/en/products/detail/amphenol-cs-fci/10176546-00011LF/26473252" TargetMode="External"/><Relationship Id="rId5" Type="http://schemas.openxmlformats.org/officeDocument/2006/relationships/hyperlink" Target="https://www.digikey.com/en/products/detail/jst-sales-america-inc/SM08B-SURS-TF/1634781" TargetMode="External"/><Relationship Id="rId6" Type="http://schemas.openxmlformats.org/officeDocument/2006/relationships/hyperlink" Target="https://www.digikey.com/en/products/detail/microchip-technology/MCP73831T-2ACI-OT/964301" TargetMode="External"/><Relationship Id="rId7" Type="http://schemas.openxmlformats.org/officeDocument/2006/relationships/hyperlink" Target="https://www.digikey.com/en/products/detail/texas-instruments/LM27313XMF-NOPB/1590046" TargetMode="External"/><Relationship Id="rId8" Type="http://schemas.openxmlformats.org/officeDocument/2006/relationships/hyperlink" Target="https://www.digikey.com/en/products/detail/texas-instruments/TPS62162DSGR/2833447" TargetMode="External"/><Relationship Id="rId9" Type="http://schemas.openxmlformats.org/officeDocument/2006/relationships/hyperlink" Target="https://www.digikey.com/en/products/detail/jst-sales-america-inc/S2B-PH-K-S/926626" TargetMode="External"/><Relationship Id="rId10" Type="http://schemas.openxmlformats.org/officeDocument/2006/relationships/hyperlink" Target="https://www.digikey.com/en/products/detail/onsemi/MBR0520LT3G/1477142" TargetMode="External"/><Relationship Id="rId11" Type="http://schemas.openxmlformats.org/officeDocument/2006/relationships/hyperlink" Target="https://www.digikey.com/en/products/detail/murata-electronics/GRM033R61A104ME15D/2175191" TargetMode="External"/><Relationship Id="rId12" Type="http://schemas.openxmlformats.org/officeDocument/2006/relationships/hyperlink" Target="https://www.digikey.com/en/products/detail/murata-electronics/GRT188R61C106KE13D/5416739" TargetMode="External"/><Relationship Id="rId13" Type="http://schemas.openxmlformats.org/officeDocument/2006/relationships/hyperlink" Target="https://www.digikey.com/en/products/detail/murata-electronics/GCM188R71E105KA64D/4903956" TargetMode="External"/><Relationship Id="rId14" Type="http://schemas.openxmlformats.org/officeDocument/2006/relationships/hyperlink" Target="https://www.digikey.com/en/products/detail/murata-electronics/GRM188R61E475KE11D/3900465" TargetMode="External"/><Relationship Id="rId15" Type="http://schemas.openxmlformats.org/officeDocument/2006/relationships/hyperlink" Target="https://www.digikey.com/en/products/detail/tdk/VLS6045EX-100M/5057822" TargetMode="External"/><Relationship Id="rId16" Type="http://schemas.openxmlformats.org/officeDocument/2006/relationships/hyperlink" Target="https://www.digikey.com/en/products/detail/tdk/VLS252012ET-2R2M/2465978" TargetMode="External"/><Relationship Id="rId17" Type="http://schemas.openxmlformats.org/officeDocument/2006/relationships/hyperlink" Target="https://www.digikey.com/en/products/detail/yageo/RC0402FR-0710KL/726523" TargetMode="External"/><Relationship Id="rId18" Type="http://schemas.openxmlformats.org/officeDocument/2006/relationships/hyperlink" Target="https://www.digikey.com/en/products/detail/yageo/RC0402FR-071KL/726513" TargetMode="External"/><Relationship Id="rId19" Type="http://schemas.openxmlformats.org/officeDocument/2006/relationships/hyperlink" Target="https://www.digikey.com/en/products/detail/yageo/RC0402JR-074K7L/726477" TargetMode="External"/><Relationship Id="rId20" Type="http://schemas.openxmlformats.org/officeDocument/2006/relationships/hyperlink" Target="https://www.digikey.com/en/products/detail/yageo/RC0402FR-075K1L/726624" TargetMode="External"/><Relationship Id="rId21" Type="http://schemas.openxmlformats.org/officeDocument/2006/relationships/hyperlink" Target="https://www.digikey.com/en/products/detail/yageo/AC0402FR-07309KL/5895272" TargetMode="External"/><Relationship Id="rId22" Type="http://schemas.openxmlformats.org/officeDocument/2006/relationships/hyperlink" Target="https://www.digikey.com/en/products/detail/yageo/RC0402FR-07100KL/726526" TargetMode="External"/><Relationship Id="rId23" Type="http://schemas.openxmlformats.org/officeDocument/2006/relationships/hyperlink" Target="https://www.digikey.com/en/products/detail/c-k/PTS645SH43SMTR92-LFS/1145472" TargetMode="External"/><Relationship Id="rId24" Type="http://schemas.openxmlformats.org/officeDocument/2006/relationships/hyperlink" Target="https://www.mouser.com/en/ProductDetail/Espressif-Systems/ESP32-S3-DevKitC-1U-N8R8?qs=Li%252BoUPsLEnv4qqHEsdK%252Bbw%3D%3D" TargetMode="External"/><Relationship Id="rId25" Type="http://schemas.openxmlformats.org/officeDocument/2006/relationships/hyperlink" Target="https://www.digikey.com/en/products/detail/te-connectivity-measurement-specialties/4525DO-DS5AI001DP/3569051" TargetMode="External"/><Relationship Id="rId26" Type="http://schemas.openxmlformats.org/officeDocument/2006/relationships/hyperlink" Target="https://www.digikey.com/en/products/detail/bosch-sensortec/SHUTTLE-BOARD-3-0-BMI088/14617528" TargetMode="External"/><Relationship Id="rId27" Type="http://schemas.openxmlformats.org/officeDocument/2006/relationships/hyperlink" Target="https://www.digikey.com/en/products/detail/lightware-lidar-inc/SF20-C/15848650" TargetMode="External"/><Relationship Id="rId28" Type="http://schemas.openxmlformats.org/officeDocument/2006/relationships/hyperlink" Target="https://www.digikey.com/en/products/detail/jst-sales-america-inc/A08SUR08SUR32W102B/9947457" TargetMode="External"/><Relationship Id="rId29" Type="http://schemas.openxmlformats.org/officeDocument/2006/relationships/hyperlink" Target="https://www.digikey.com/en/products/detail/pulse-electronics/W1049B050/2267887" TargetMode="External"/><Relationship Id="rId30" Type="http://schemas.openxmlformats.org/officeDocument/2006/relationships/hyperlink" Target="https://www.digikey.com/en/products/detail/adafruit-industries-llc/852/6827042" TargetMode="External"/><Relationship Id="rId31" Type="http://schemas.openxmlformats.org/officeDocument/2006/relationships/hyperlink" Target="https://www.digikey.com/en/products/detail/adafruit-industries-llc/1781/5054543" TargetMode="External"/><Relationship Id="rId32" Type="http://schemas.openxmlformats.org/officeDocument/2006/relationships/hyperlink" Target="https://www.digikey.com/en/products/detail/dfrobot/KIT0198-US/28531129" TargetMode="External"/><Relationship Id="rId33" Type="http://schemas.openxmlformats.org/officeDocument/2006/relationships/hyperlink" Target="https://www.digikey.com/en/products/detail/chip-quik-inc/SMD291AXT4/8543521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digikey.com/en/products/detail/espressif-systems/ESP32-S3-WROOM-1U-N8R8/16162638" TargetMode="External"/><Relationship Id="rId2" Type="http://schemas.openxmlformats.org/officeDocument/2006/relationships/hyperlink" Target="https://www.digikey.com/en/products/detail/bosch-sensortec/BMI088/8634936" TargetMode="External"/><Relationship Id="rId3" Type="http://schemas.openxmlformats.org/officeDocument/2006/relationships/hyperlink" Target="https://www.mouser.com/en/ProductDetail/Bosch-Sensortec/BMI088?qs=f9yNj16SXrIMFspTV6RB6Q%3D%3D" TargetMode="External"/><Relationship Id="rId4" Type="http://schemas.openxmlformats.org/officeDocument/2006/relationships/hyperlink" Target="https://www.digikey.com/en/products/detail/texas-instruments/TPS22919DCKR/10434801" TargetMode="External"/><Relationship Id="rId5" Type="http://schemas.openxmlformats.org/officeDocument/2006/relationships/hyperlink" Target="https://www.digikey.com/en/products/detail/amphenol-cs-fci/10176546-00011LF/26473252" TargetMode="External"/><Relationship Id="rId6" Type="http://schemas.openxmlformats.org/officeDocument/2006/relationships/hyperlink" Target="https://www.digikey.com/en/products/detail/jst-sales-america-inc/SM08B-SURS-TF/1634781" TargetMode="External"/><Relationship Id="rId7" Type="http://schemas.openxmlformats.org/officeDocument/2006/relationships/hyperlink" Target="https://www.digikey.com/en/products/detail/microchip-technology/MCP73831T-2ACI-OT/964301" TargetMode="External"/><Relationship Id="rId8" Type="http://schemas.openxmlformats.org/officeDocument/2006/relationships/hyperlink" Target="https://www.digikey.com/en/products/detail/texas-instruments/LM27313XMF-NOPB/1590046" TargetMode="External"/><Relationship Id="rId9" Type="http://schemas.openxmlformats.org/officeDocument/2006/relationships/hyperlink" Target="https://www.digikey.com/en/products/detail/texas-instruments/TPS62162DSGR/2833447" TargetMode="External"/><Relationship Id="rId10" Type="http://schemas.openxmlformats.org/officeDocument/2006/relationships/hyperlink" Target="https://www.digikey.com/en/products/detail/jst-sales-america-inc/S2B-PH-K-S/926626" TargetMode="External"/><Relationship Id="rId11" Type="http://schemas.openxmlformats.org/officeDocument/2006/relationships/hyperlink" Target="https://www.digikey.com/en/products/detail/onsemi/MBR0520LT3G/1477142" TargetMode="External"/><Relationship Id="rId12" Type="http://schemas.openxmlformats.org/officeDocument/2006/relationships/hyperlink" Target="https://www.digikey.com/en/products/detail/murata-electronics/GRM033R61A104ME15D/2175191" TargetMode="External"/><Relationship Id="rId13" Type="http://schemas.openxmlformats.org/officeDocument/2006/relationships/hyperlink" Target="https://www.digikey.com/en/products/detail/murata-electronics/GRT188R61C106KE13D/5416739" TargetMode="External"/><Relationship Id="rId14" Type="http://schemas.openxmlformats.org/officeDocument/2006/relationships/hyperlink" Target="https://www.digikey.com/en/products/detail/murata-electronics/GCM188R71E105KA64D/4903956" TargetMode="External"/><Relationship Id="rId15" Type="http://schemas.openxmlformats.org/officeDocument/2006/relationships/hyperlink" Target="https://www.digikey.com/en/products/detail/murata-electronics/GRM188R61E475KE11D/3900465" TargetMode="External"/><Relationship Id="rId16" Type="http://schemas.openxmlformats.org/officeDocument/2006/relationships/hyperlink" Target="https://www.digikey.com/en/products/detail/tdk/VLS6045EX-100M/5057822" TargetMode="External"/><Relationship Id="rId17" Type="http://schemas.openxmlformats.org/officeDocument/2006/relationships/hyperlink" Target="https://www.digikey.com/en/products/detail/tdk/VLS252012ET-2R2M/2465978" TargetMode="External"/><Relationship Id="rId18" Type="http://schemas.openxmlformats.org/officeDocument/2006/relationships/hyperlink" Target="https://www.digikey.com/en/products/detail/yageo/RC0402FR-0710KL/726523" TargetMode="External"/><Relationship Id="rId19" Type="http://schemas.openxmlformats.org/officeDocument/2006/relationships/hyperlink" Target="https://www.digikey.com/en/products/detail/yageo/RC0402FR-071KL/726513" TargetMode="External"/><Relationship Id="rId20" Type="http://schemas.openxmlformats.org/officeDocument/2006/relationships/hyperlink" Target="https://www.digikey.com/en/products/detail/yageo/RC0402JR-074K7L/726477" TargetMode="External"/><Relationship Id="rId21" Type="http://schemas.openxmlformats.org/officeDocument/2006/relationships/hyperlink" Target="https://www.digikey.com/en/products/detail/yageo/RC0402FR-075K1L/726624" TargetMode="External"/><Relationship Id="rId22" Type="http://schemas.openxmlformats.org/officeDocument/2006/relationships/hyperlink" Target="https://www.digikey.com/en/products/detail/yageo/AC0402FR-07309KL/5895272" TargetMode="External"/><Relationship Id="rId23" Type="http://schemas.openxmlformats.org/officeDocument/2006/relationships/hyperlink" Target="https://www.digikey.com/en/products/detail/yageo/RC0402FR-07100KL/726526" TargetMode="External"/><Relationship Id="rId24" Type="http://schemas.openxmlformats.org/officeDocument/2006/relationships/hyperlink" Target="https://www.digikey.com/en/products/detail/c-k/PTS645SH43SMTR92-LFS/1145472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digikey.com/en/products/detail/espressif-systems/ESP32-S3-DEVKITC-1U-N8R8/16162636" TargetMode="External"/><Relationship Id="rId2" Type="http://schemas.openxmlformats.org/officeDocument/2006/relationships/hyperlink" Target="https://www.mouser.com/en/ProductDetail/Espressif-Systems/ESP32-S3-DevKitC-1U-N8R8?qs=Li%252BoUPsLEnv4qqHEsdK%252Bbw%3D%3D" TargetMode="External"/><Relationship Id="rId3" Type="http://schemas.openxmlformats.org/officeDocument/2006/relationships/hyperlink" Target="https://www.digikey.com/en/products/detail/te-connectivity-measurement-specialties/4525DO-DS5AI001DP/3569051" TargetMode="External"/><Relationship Id="rId4" Type="http://schemas.openxmlformats.org/officeDocument/2006/relationships/hyperlink" Target="https://www.mouser.com/en/ProductDetail/TE-Connectivity-Measurement-Specialties/4525DO-DS5AI001DP?qs=oFx6pF86PmDUpUCTX7loEA%3D%3D" TargetMode="External"/><Relationship Id="rId5" Type="http://schemas.openxmlformats.org/officeDocument/2006/relationships/hyperlink" Target="https://www.digikey.com/en/products/detail/bosch-sensortec/SHUTTLE-BOARD-3-0-BMI088/14617528" TargetMode="External"/><Relationship Id="rId6" Type="http://schemas.openxmlformats.org/officeDocument/2006/relationships/hyperlink" Target="https://www.digikey.com/en/products/detail/jst-sales-america-inc/A08SUR08SUR32W102B/9947457" TargetMode="External"/><Relationship Id="rId7" Type="http://schemas.openxmlformats.org/officeDocument/2006/relationships/hyperlink" Target="https://www.digikey.com/en/products/detail/pulse-electronics/W1049B050/2267887" TargetMode="External"/><Relationship Id="rId8" Type="http://schemas.openxmlformats.org/officeDocument/2006/relationships/hyperlink" Target="https://www.digikey.com/en/products/detail/adafruit-industries-llc/852/6827042" TargetMode="External"/><Relationship Id="rId9" Type="http://schemas.openxmlformats.org/officeDocument/2006/relationships/hyperlink" Target="https://www.digikey.com/en/products/detail/adafruit-industries-llc/1781/5054543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digikey.com/en/products/detail/espressif-systems/ESP32-S3-DEVKITC-1U-N8R8/16162636" TargetMode="External"/><Relationship Id="rId2" Type="http://schemas.openxmlformats.org/officeDocument/2006/relationships/hyperlink" Target="https://www.digikey.com/en/products/detail/te-connectivity-measurement-specialties/4525DO-DS5AI001DP/3569051" TargetMode="External"/><Relationship Id="rId3" Type="http://schemas.openxmlformats.org/officeDocument/2006/relationships/hyperlink" Target="https://www.digikey.com/en/products/detail/bosch-sensortec/BMI088/8634936" TargetMode="External"/><Relationship Id="rId4" Type="http://schemas.openxmlformats.org/officeDocument/2006/relationships/hyperlink" Target="https://www.digikey.com/en/products/detail/lightware-lidar-inc/LW20-C/15848653" TargetMode="External"/><Relationship Id="rId5" Type="http://schemas.openxmlformats.org/officeDocument/2006/relationships/hyperlink" Target="https://www.adafruit.com/product/1781" TargetMode="External"/><Relationship Id="rId6" Type="http://schemas.openxmlformats.org/officeDocument/2006/relationships/hyperlink" Target="https://www.adafruit.com/product/354" TargetMode="External"/><Relationship Id="rId7" Type="http://schemas.openxmlformats.org/officeDocument/2006/relationships/hyperlink" Target="https://www.digikey.com/en/products/detail/microchip-technology/MCP73831T-2ACI-OT/964301" TargetMode="External"/><Relationship Id="rId8" Type="http://schemas.openxmlformats.org/officeDocument/2006/relationships/hyperlink" Target="https://www.digikey.com/en/products/detail/texas-instruments/BQ21040DBVR/6036340" TargetMode="External"/><Relationship Id="rId9" Type="http://schemas.openxmlformats.org/officeDocument/2006/relationships/hyperlink" Target="https://www.digikey.com/en/products/detail/texas-instruments/LM27313XMF-NOPB/1590046" TargetMode="External"/><Relationship Id="rId10" Type="http://schemas.openxmlformats.org/officeDocument/2006/relationships/hyperlink" Target="https://www.digikey.com/en/products/detail/semtech-corporation/SC189ZSKTRT/2182360" TargetMode="External"/><Relationship Id="rId11" Type="http://schemas.openxmlformats.org/officeDocument/2006/relationships/hyperlink" Target="https://www.digikey.com/en/products/detail/texas-instruments/TPS62162DSGR/283344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C34" activeCellId="0" sqref="C34"/>
    </sheetView>
  </sheetViews>
  <sheetFormatPr defaultColWidth="10.14453125" defaultRowHeight="15" zeroHeight="false" outlineLevelRow="0" outlineLevelCol="0"/>
  <cols>
    <col collapsed="false" customWidth="true" hidden="false" outlineLevel="0" max="2" min="2" style="0" width="15.43"/>
    <col collapsed="false" customWidth="true" hidden="false" outlineLevel="0" max="3" min="3" style="0" width="24.57"/>
    <col collapsed="false" customWidth="true" hidden="false" outlineLevel="0" max="4" min="4" style="0" width="38.8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6.4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n">
        <v>1</v>
      </c>
      <c r="F2" s="1" t="n">
        <v>6.76</v>
      </c>
      <c r="G2" s="1" t="n">
        <f aca="false">F2*E2</f>
        <v>6.76</v>
      </c>
      <c r="I2" s="2" t="s">
        <v>13</v>
      </c>
    </row>
    <row r="3" customFormat="false" ht="16.4" hidden="false" customHeight="false" outlineLevel="0" collapsed="false">
      <c r="A3" s="0" t="s">
        <v>9</v>
      </c>
      <c r="B3" s="0" t="s">
        <v>14</v>
      </c>
      <c r="C3" s="0" t="s">
        <v>15</v>
      </c>
      <c r="D3" s="0" t="s">
        <v>16</v>
      </c>
      <c r="E3" s="0" t="n">
        <v>0</v>
      </c>
      <c r="F3" s="1" t="n">
        <v>5.92</v>
      </c>
      <c r="G3" s="1" t="n">
        <f aca="false">F3*E3</f>
        <v>0</v>
      </c>
      <c r="H3" s="3" t="s">
        <v>17</v>
      </c>
      <c r="I3" s="2" t="s">
        <v>18</v>
      </c>
      <c r="J3" s="2"/>
    </row>
    <row r="4" customFormat="false" ht="16.4" hidden="false" customHeight="false" outlineLevel="0" collapsed="false">
      <c r="A4" s="0" t="s">
        <v>9</v>
      </c>
      <c r="B4" s="0" t="s">
        <v>19</v>
      </c>
      <c r="C4" s="0" t="s">
        <v>20</v>
      </c>
      <c r="D4" s="0" t="s">
        <v>21</v>
      </c>
      <c r="E4" s="0" t="n">
        <v>10</v>
      </c>
      <c r="F4" s="1" t="n">
        <v>0.17</v>
      </c>
      <c r="G4" s="1" t="n">
        <f aca="false">F4*E4</f>
        <v>1.7</v>
      </c>
      <c r="H4" s="3" t="s">
        <v>22</v>
      </c>
      <c r="I4" s="2" t="s">
        <v>23</v>
      </c>
    </row>
    <row r="5" customFormat="false" ht="16.4" hidden="false" customHeight="false" outlineLevel="0" collapsed="false">
      <c r="A5" s="0" t="s">
        <v>24</v>
      </c>
      <c r="B5" s="0" t="s">
        <v>25</v>
      </c>
      <c r="C5" s="0" t="s">
        <v>26</v>
      </c>
      <c r="D5" s="0" t="s">
        <v>27</v>
      </c>
      <c r="E5" s="0" t="n">
        <v>3</v>
      </c>
      <c r="F5" s="1" t="n">
        <v>1.13</v>
      </c>
      <c r="G5" s="1" t="n">
        <f aca="false">F5*E5</f>
        <v>3.39</v>
      </c>
      <c r="I5" s="2" t="s">
        <v>28</v>
      </c>
    </row>
    <row r="6" customFormat="false" ht="16.4" hidden="false" customHeight="false" outlineLevel="0" collapsed="false">
      <c r="A6" s="0" t="s">
        <v>24</v>
      </c>
      <c r="B6" s="0" t="s">
        <v>29</v>
      </c>
      <c r="C6" s="0" t="s">
        <v>30</v>
      </c>
      <c r="D6" s="0" t="s">
        <v>31</v>
      </c>
      <c r="E6" s="0" t="n">
        <v>3</v>
      </c>
      <c r="F6" s="1" t="n">
        <v>1.04</v>
      </c>
      <c r="G6" s="1" t="n">
        <f aca="false">F6*E6</f>
        <v>3.12</v>
      </c>
      <c r="H6" s="3" t="s">
        <v>32</v>
      </c>
      <c r="I6" s="2" t="s">
        <v>33</v>
      </c>
    </row>
    <row r="7" customFormat="false" ht="16.4" hidden="false" customHeight="false" outlineLevel="0" collapsed="false">
      <c r="A7" s="0" t="s">
        <v>9</v>
      </c>
      <c r="B7" s="0" t="s">
        <v>34</v>
      </c>
      <c r="C7" s="0" t="s">
        <v>35</v>
      </c>
      <c r="D7" s="0" t="s">
        <v>36</v>
      </c>
      <c r="E7" s="0" t="n">
        <v>3</v>
      </c>
      <c r="F7" s="1" t="n">
        <v>0.76</v>
      </c>
      <c r="G7" s="1" t="n">
        <f aca="false">F7*E7</f>
        <v>2.28</v>
      </c>
      <c r="I7" s="2" t="s">
        <v>37</v>
      </c>
    </row>
    <row r="8" customFormat="false" ht="16.4" hidden="false" customHeight="false" outlineLevel="0" collapsed="false">
      <c r="A8" s="0" t="s">
        <v>9</v>
      </c>
      <c r="B8" s="0" t="s">
        <v>19</v>
      </c>
      <c r="C8" s="4" t="s">
        <v>38</v>
      </c>
      <c r="D8" s="3" t="s">
        <v>39</v>
      </c>
      <c r="E8" s="0" t="n">
        <v>3</v>
      </c>
      <c r="F8" s="1" t="n">
        <v>2.52</v>
      </c>
      <c r="G8" s="1" t="n">
        <f aca="false">F8*E8</f>
        <v>7.56</v>
      </c>
      <c r="I8" s="2" t="s">
        <v>40</v>
      </c>
    </row>
    <row r="9" customFormat="false" ht="16.4" hidden="false" customHeight="false" outlineLevel="0" collapsed="false">
      <c r="A9" s="0" t="s">
        <v>9</v>
      </c>
      <c r="B9" s="0" t="s">
        <v>19</v>
      </c>
      <c r="C9" s="0" t="s">
        <v>41</v>
      </c>
      <c r="D9" s="0" t="s">
        <v>42</v>
      </c>
      <c r="E9" s="0" t="n">
        <v>3</v>
      </c>
      <c r="F9" s="1" t="n">
        <v>1.99</v>
      </c>
      <c r="G9" s="1" t="n">
        <f aca="false">F9*E9</f>
        <v>5.97</v>
      </c>
      <c r="I9" s="2" t="s">
        <v>43</v>
      </c>
    </row>
    <row r="10" customFormat="false" ht="16.4" hidden="false" customHeight="false" outlineLevel="0" collapsed="false">
      <c r="A10" s="0" t="s">
        <v>24</v>
      </c>
      <c r="B10" s="0" t="s">
        <v>29</v>
      </c>
      <c r="C10" s="0" t="s">
        <v>44</v>
      </c>
      <c r="D10" s="0" t="s">
        <v>45</v>
      </c>
      <c r="E10" s="0" t="n">
        <v>3</v>
      </c>
      <c r="F10" s="1" t="n">
        <v>0.12</v>
      </c>
      <c r="G10" s="1" t="n">
        <f aca="false">F10*E10</f>
        <v>0.36</v>
      </c>
      <c r="H10" s="3" t="s">
        <v>46</v>
      </c>
      <c r="I10" s="2" t="s">
        <v>47</v>
      </c>
    </row>
    <row r="11" customFormat="false" ht="16.4" hidden="false" customHeight="false" outlineLevel="0" collapsed="false">
      <c r="A11" s="0" t="s">
        <v>48</v>
      </c>
      <c r="B11" s="0" t="s">
        <v>49</v>
      </c>
      <c r="C11" s="0" t="s">
        <v>50</v>
      </c>
      <c r="D11" s="0" t="s">
        <v>51</v>
      </c>
      <c r="E11" s="0" t="n">
        <v>3</v>
      </c>
      <c r="F11" s="1" t="n">
        <v>0.37</v>
      </c>
      <c r="G11" s="1" t="n">
        <f aca="false">F11*E11</f>
        <v>1.11</v>
      </c>
      <c r="I11" s="2" t="s">
        <v>52</v>
      </c>
    </row>
    <row r="12" customFormat="false" ht="16.4" hidden="false" customHeight="false" outlineLevel="0" collapsed="false">
      <c r="A12" s="0" t="s">
        <v>48</v>
      </c>
      <c r="B12" s="0" t="s">
        <v>53</v>
      </c>
      <c r="C12" s="0" t="s">
        <v>54</v>
      </c>
      <c r="D12" s="0" t="s">
        <v>55</v>
      </c>
      <c r="E12" s="0" t="n">
        <v>50</v>
      </c>
      <c r="F12" s="1" t="n">
        <v>0.0094</v>
      </c>
      <c r="G12" s="1" t="n">
        <f aca="false">F12*E12</f>
        <v>0.47</v>
      </c>
      <c r="I12" s="2" t="s">
        <v>56</v>
      </c>
    </row>
    <row r="13" customFormat="false" ht="16.4" hidden="false" customHeight="false" outlineLevel="0" collapsed="false">
      <c r="A13" s="0" t="s">
        <v>48</v>
      </c>
      <c r="B13" s="0" t="s">
        <v>53</v>
      </c>
      <c r="C13" s="0" t="s">
        <v>57</v>
      </c>
      <c r="D13" s="0" t="s">
        <v>58</v>
      </c>
      <c r="E13" s="0" t="n">
        <v>10</v>
      </c>
      <c r="F13" s="1" t="n">
        <v>0.175</v>
      </c>
      <c r="G13" s="1" t="n">
        <f aca="false">F13*E13</f>
        <v>1.75</v>
      </c>
      <c r="I13" s="2" t="s">
        <v>59</v>
      </c>
    </row>
    <row r="14" customFormat="false" ht="16.4" hidden="false" customHeight="false" outlineLevel="0" collapsed="false">
      <c r="A14" s="0" t="s">
        <v>48</v>
      </c>
      <c r="B14" s="0" t="s">
        <v>53</v>
      </c>
      <c r="C14" s="0" t="s">
        <v>60</v>
      </c>
      <c r="D14" s="0" t="s">
        <v>61</v>
      </c>
      <c r="E14" s="0" t="n">
        <v>10</v>
      </c>
      <c r="F14" s="1" t="n">
        <v>0.109</v>
      </c>
      <c r="G14" s="1" t="n">
        <f aca="false">F14*E14</f>
        <v>1.09</v>
      </c>
      <c r="I14" s="2" t="s">
        <v>62</v>
      </c>
    </row>
    <row r="15" customFormat="false" ht="16.4" hidden="false" customHeight="false" outlineLevel="0" collapsed="false">
      <c r="A15" s="0" t="s">
        <v>48</v>
      </c>
      <c r="B15" s="0" t="s">
        <v>53</v>
      </c>
      <c r="C15" s="0" t="s">
        <v>63</v>
      </c>
      <c r="D15" s="0" t="s">
        <v>64</v>
      </c>
      <c r="E15" s="0" t="n">
        <v>10</v>
      </c>
      <c r="F15" s="1" t="n">
        <v>0.141</v>
      </c>
      <c r="G15" s="1" t="n">
        <f aca="false">F15*E15</f>
        <v>1.41</v>
      </c>
      <c r="I15" s="2" t="s">
        <v>65</v>
      </c>
    </row>
    <row r="16" customFormat="false" ht="15" hidden="false" customHeight="false" outlineLevel="0" collapsed="false">
      <c r="A16" s="0" t="s">
        <v>48</v>
      </c>
      <c r="D16" s="0" t="s">
        <v>66</v>
      </c>
      <c r="E16" s="0" t="n">
        <v>0</v>
      </c>
      <c r="F16" s="1"/>
      <c r="G16" s="1" t="n">
        <f aca="false">F16*E16</f>
        <v>0</v>
      </c>
      <c r="H16" s="3" t="s">
        <v>67</v>
      </c>
    </row>
    <row r="17" customFormat="false" ht="16.4" hidden="false" customHeight="false" outlineLevel="0" collapsed="false">
      <c r="A17" s="0" t="s">
        <v>48</v>
      </c>
      <c r="B17" s="0" t="s">
        <v>68</v>
      </c>
      <c r="C17" s="0" t="s">
        <v>69</v>
      </c>
      <c r="D17" s="0" t="s">
        <v>70</v>
      </c>
      <c r="E17" s="0" t="n">
        <v>3</v>
      </c>
      <c r="F17" s="1" t="n">
        <v>0.35</v>
      </c>
      <c r="G17" s="1" t="n">
        <f aca="false">F17*E17</f>
        <v>1.05</v>
      </c>
      <c r="H17" s="3" t="s">
        <v>71</v>
      </c>
      <c r="I17" s="2" t="s">
        <v>72</v>
      </c>
    </row>
    <row r="18" customFormat="false" ht="16.4" hidden="false" customHeight="false" outlineLevel="0" collapsed="false">
      <c r="A18" s="0" t="s">
        <v>48</v>
      </c>
      <c r="B18" s="0" t="s">
        <v>68</v>
      </c>
      <c r="C18" s="0" t="s">
        <v>73</v>
      </c>
      <c r="D18" s="0" t="s">
        <v>74</v>
      </c>
      <c r="E18" s="0" t="n">
        <v>3</v>
      </c>
      <c r="F18" s="1" t="n">
        <v>0.28</v>
      </c>
      <c r="G18" s="1" t="n">
        <f aca="false">F18*E18</f>
        <v>0.84</v>
      </c>
      <c r="H18" s="3" t="s">
        <v>71</v>
      </c>
      <c r="I18" s="2" t="s">
        <v>75</v>
      </c>
    </row>
    <row r="19" customFormat="false" ht="16.4" hidden="false" customHeight="false" outlineLevel="0" collapsed="false">
      <c r="A19" s="0" t="s">
        <v>48</v>
      </c>
      <c r="B19" s="0" t="s">
        <v>76</v>
      </c>
      <c r="C19" s="0" t="s">
        <v>77</v>
      </c>
      <c r="D19" s="0" t="s">
        <v>78</v>
      </c>
      <c r="E19" s="0" t="n">
        <v>25</v>
      </c>
      <c r="F19" s="1" t="n">
        <v>0.0152</v>
      </c>
      <c r="G19" s="1" t="n">
        <f aca="false">F19*E19</f>
        <v>0.38</v>
      </c>
      <c r="I19" s="2" t="s">
        <v>79</v>
      </c>
    </row>
    <row r="20" customFormat="false" ht="16.4" hidden="false" customHeight="false" outlineLevel="0" collapsed="false">
      <c r="A20" s="0" t="s">
        <v>48</v>
      </c>
      <c r="B20" s="0" t="s">
        <v>76</v>
      </c>
      <c r="C20" s="0" t="s">
        <v>80</v>
      </c>
      <c r="D20" s="0" t="s">
        <v>81</v>
      </c>
      <c r="E20" s="0" t="n">
        <v>25</v>
      </c>
      <c r="F20" s="1" t="n">
        <v>0.0152</v>
      </c>
      <c r="G20" s="1" t="n">
        <f aca="false">F20*E20</f>
        <v>0.38</v>
      </c>
      <c r="I20" s="2" t="s">
        <v>82</v>
      </c>
    </row>
    <row r="21" customFormat="false" ht="16.4" hidden="false" customHeight="false" outlineLevel="0" collapsed="false">
      <c r="A21" s="0" t="s">
        <v>48</v>
      </c>
      <c r="B21" s="0" t="s">
        <v>76</v>
      </c>
      <c r="C21" s="0" t="s">
        <v>83</v>
      </c>
      <c r="D21" s="0" t="s">
        <v>84</v>
      </c>
      <c r="E21" s="0" t="n">
        <v>25</v>
      </c>
      <c r="F21" s="1" t="n">
        <v>0.0144</v>
      </c>
      <c r="G21" s="1" t="n">
        <f aca="false">F21*E21</f>
        <v>0.36</v>
      </c>
      <c r="I21" s="2" t="s">
        <v>85</v>
      </c>
    </row>
    <row r="22" customFormat="false" ht="16.4" hidden="false" customHeight="false" outlineLevel="0" collapsed="false">
      <c r="A22" s="0" t="s">
        <v>48</v>
      </c>
      <c r="B22" s="0" t="s">
        <v>76</v>
      </c>
      <c r="C22" s="0" t="s">
        <v>86</v>
      </c>
      <c r="D22" s="0" t="s">
        <v>87</v>
      </c>
      <c r="E22" s="0" t="n">
        <v>25</v>
      </c>
      <c r="F22" s="1" t="n">
        <v>0.0152</v>
      </c>
      <c r="G22" s="1" t="n">
        <f aca="false">F22*E22</f>
        <v>0.38</v>
      </c>
      <c r="I22" s="2" t="s">
        <v>88</v>
      </c>
    </row>
    <row r="23" customFormat="false" ht="16.4" hidden="false" customHeight="false" outlineLevel="0" collapsed="false">
      <c r="A23" s="0" t="s">
        <v>48</v>
      </c>
      <c r="B23" s="0" t="s">
        <v>76</v>
      </c>
      <c r="C23" s="0" t="s">
        <v>89</v>
      </c>
      <c r="D23" s="0" t="s">
        <v>90</v>
      </c>
      <c r="E23" s="0" t="n">
        <v>10</v>
      </c>
      <c r="F23" s="1" t="n">
        <v>0.024</v>
      </c>
      <c r="G23" s="1" t="n">
        <f aca="false">F23*E23</f>
        <v>0.24</v>
      </c>
      <c r="I23" s="2" t="s">
        <v>91</v>
      </c>
    </row>
    <row r="24" customFormat="false" ht="16.4" hidden="false" customHeight="false" outlineLevel="0" collapsed="false">
      <c r="A24" s="0" t="s">
        <v>48</v>
      </c>
      <c r="B24" s="0" t="s">
        <v>76</v>
      </c>
      <c r="C24" s="0" t="s">
        <v>92</v>
      </c>
      <c r="D24" s="0" t="s">
        <v>93</v>
      </c>
      <c r="E24" s="0" t="n">
        <v>10</v>
      </c>
      <c r="F24" s="1" t="n">
        <v>0.021</v>
      </c>
      <c r="G24" s="1" t="n">
        <f aca="false">F24*E24</f>
        <v>0.21</v>
      </c>
      <c r="I24" s="2" t="s">
        <v>94</v>
      </c>
    </row>
    <row r="25" customFormat="false" ht="16.4" hidden="false" customHeight="false" outlineLevel="0" collapsed="false">
      <c r="A25" s="0" t="s">
        <v>9</v>
      </c>
      <c r="B25" s="0" t="s">
        <v>95</v>
      </c>
      <c r="C25" s="0" t="s">
        <v>96</v>
      </c>
      <c r="D25" s="0" t="s">
        <v>97</v>
      </c>
      <c r="E25" s="0" t="n">
        <v>5</v>
      </c>
      <c r="F25" s="1" t="n">
        <v>0.39</v>
      </c>
      <c r="G25" s="1" t="n">
        <f aca="false">F25*E25</f>
        <v>1.95</v>
      </c>
      <c r="I25" s="2" t="s">
        <v>98</v>
      </c>
    </row>
    <row r="26" customFormat="false" ht="16.4" hidden="false" customHeight="false" outlineLevel="0" collapsed="false">
      <c r="A26" s="0" t="s">
        <v>99</v>
      </c>
      <c r="B26" s="0" t="s">
        <v>10</v>
      </c>
      <c r="C26" s="0" t="s">
        <v>100</v>
      </c>
      <c r="D26" s="0" t="s">
        <v>101</v>
      </c>
      <c r="E26" s="0" t="n">
        <v>2</v>
      </c>
      <c r="F26" s="1" t="n">
        <v>15.31</v>
      </c>
      <c r="G26" s="1" t="n">
        <f aca="false">F26*E26</f>
        <v>30.62</v>
      </c>
      <c r="H26" s="3" t="s">
        <v>102</v>
      </c>
      <c r="I26" s="2" t="s">
        <v>103</v>
      </c>
    </row>
    <row r="27" customFormat="false" ht="16.4" hidden="false" customHeight="false" outlineLevel="0" collapsed="false">
      <c r="A27" s="0" t="s">
        <v>104</v>
      </c>
      <c r="B27" s="0" t="s">
        <v>105</v>
      </c>
      <c r="C27" s="0" t="s">
        <v>106</v>
      </c>
      <c r="D27" s="0" t="s">
        <v>107</v>
      </c>
      <c r="E27" s="0" t="n">
        <v>1</v>
      </c>
      <c r="F27" s="1" t="n">
        <v>72.41</v>
      </c>
      <c r="G27" s="1" t="n">
        <f aca="false">F27*E27</f>
        <v>72.41</v>
      </c>
      <c r="H27" s="3" t="s">
        <v>108</v>
      </c>
      <c r="I27" s="2" t="s">
        <v>109</v>
      </c>
    </row>
    <row r="28" customFormat="false" ht="16.4" hidden="false" customHeight="false" outlineLevel="0" collapsed="false">
      <c r="A28" s="0" t="s">
        <v>99</v>
      </c>
      <c r="B28" s="0" t="s">
        <v>14</v>
      </c>
      <c r="C28" s="0" t="s">
        <v>110</v>
      </c>
      <c r="D28" s="0" t="s">
        <v>111</v>
      </c>
      <c r="E28" s="0" t="n">
        <v>2</v>
      </c>
      <c r="F28" s="1" t="n">
        <v>16.2</v>
      </c>
      <c r="G28" s="1" t="n">
        <f aca="false">F28*E28</f>
        <v>32.4</v>
      </c>
      <c r="H28" s="3" t="s">
        <v>112</v>
      </c>
      <c r="I28" s="2" t="s">
        <v>113</v>
      </c>
    </row>
    <row r="29" customFormat="false" ht="16.4" hidden="false" customHeight="false" outlineLevel="0" collapsed="false">
      <c r="A29" s="0" t="s">
        <v>104</v>
      </c>
      <c r="B29" s="0" t="s">
        <v>114</v>
      </c>
      <c r="C29" s="0" t="s">
        <v>115</v>
      </c>
      <c r="D29" s="0" t="s">
        <v>116</v>
      </c>
      <c r="E29" s="0" t="n">
        <v>1</v>
      </c>
      <c r="F29" s="1" t="n">
        <v>319</v>
      </c>
      <c r="G29" s="1" t="n">
        <f aca="false">F29*E29</f>
        <v>319</v>
      </c>
      <c r="H29" s="3" t="s">
        <v>117</v>
      </c>
      <c r="I29" s="2" t="s">
        <v>118</v>
      </c>
    </row>
    <row r="30" customFormat="false" ht="16.4" hidden="false" customHeight="false" outlineLevel="0" collapsed="false">
      <c r="A30" s="0" t="s">
        <v>119</v>
      </c>
      <c r="B30" s="0" t="s">
        <v>29</v>
      </c>
      <c r="C30" s="0" t="s">
        <v>120</v>
      </c>
      <c r="D30" s="0" t="s">
        <v>121</v>
      </c>
      <c r="E30" s="0" t="n">
        <v>2</v>
      </c>
      <c r="F30" s="1" t="n">
        <v>2.13</v>
      </c>
      <c r="G30" s="1" t="n">
        <f aca="false">F30*E30</f>
        <v>4.26</v>
      </c>
      <c r="H30" s="3" t="s">
        <v>122</v>
      </c>
      <c r="I30" s="2" t="s">
        <v>123</v>
      </c>
    </row>
    <row r="31" customFormat="false" ht="16.4" hidden="false" customHeight="false" outlineLevel="0" collapsed="false">
      <c r="A31" s="0" t="s">
        <v>99</v>
      </c>
      <c r="B31" s="0" t="s">
        <v>114</v>
      </c>
      <c r="C31" s="4" t="s">
        <v>124</v>
      </c>
      <c r="D31" s="3" t="s">
        <v>125</v>
      </c>
      <c r="E31" s="0" t="n">
        <v>0</v>
      </c>
      <c r="F31" s="1"/>
      <c r="G31" s="1" t="n">
        <f aca="false">F31*E31</f>
        <v>0</v>
      </c>
      <c r="H31" s="3" t="s">
        <v>67</v>
      </c>
    </row>
    <row r="32" customFormat="false" ht="16.4" hidden="false" customHeight="false" outlineLevel="0" collapsed="false">
      <c r="A32" s="0" t="s">
        <v>126</v>
      </c>
      <c r="B32" s="0" t="s">
        <v>127</v>
      </c>
      <c r="C32" s="0" t="s">
        <v>128</v>
      </c>
      <c r="D32" s="0" t="s">
        <v>129</v>
      </c>
      <c r="E32" s="0" t="n">
        <v>1</v>
      </c>
      <c r="F32" s="1" t="n">
        <v>4.49</v>
      </c>
      <c r="G32" s="1" t="n">
        <f aca="false">F32*E32</f>
        <v>4.49</v>
      </c>
      <c r="H32" s="3" t="s">
        <v>130</v>
      </c>
      <c r="I32" s="2" t="s">
        <v>131</v>
      </c>
    </row>
    <row r="33" customFormat="false" ht="16.4" hidden="false" customHeight="false" outlineLevel="0" collapsed="false">
      <c r="A33" s="0" t="s">
        <v>132</v>
      </c>
      <c r="B33" s="0" t="s">
        <v>133</v>
      </c>
      <c r="C33" s="0" t="n">
        <v>852</v>
      </c>
      <c r="D33" s="0" t="s">
        <v>134</v>
      </c>
      <c r="E33" s="0" t="n">
        <v>0</v>
      </c>
      <c r="F33" s="1"/>
      <c r="G33" s="1" t="n">
        <f aca="false">F33*E33</f>
        <v>0</v>
      </c>
      <c r="H33" s="3" t="s">
        <v>67</v>
      </c>
      <c r="I33" s="3" t="s">
        <v>135</v>
      </c>
    </row>
    <row r="34" customFormat="false" ht="15" hidden="false" customHeight="false" outlineLevel="0" collapsed="false">
      <c r="A34" s="0" t="s">
        <v>136</v>
      </c>
      <c r="D34" s="0" t="s">
        <v>137</v>
      </c>
      <c r="E34" s="0" t="n">
        <v>0</v>
      </c>
      <c r="F34" s="1"/>
      <c r="G34" s="1" t="n">
        <f aca="false">F34*E34</f>
        <v>0</v>
      </c>
      <c r="H34" s="3" t="s">
        <v>67</v>
      </c>
      <c r="I34" s="3" t="s">
        <v>138</v>
      </c>
    </row>
    <row r="35" customFormat="false" ht="16.4" hidden="false" customHeight="false" outlineLevel="0" collapsed="false">
      <c r="A35" s="0" t="s">
        <v>139</v>
      </c>
      <c r="B35" s="0" t="s">
        <v>133</v>
      </c>
      <c r="C35" s="0" t="n">
        <v>1781</v>
      </c>
      <c r="D35" s="0" t="s">
        <v>140</v>
      </c>
      <c r="E35" s="0" t="n">
        <v>2</v>
      </c>
      <c r="F35" s="1" t="n">
        <v>9.95</v>
      </c>
      <c r="G35" s="1" t="n">
        <f aca="false">F35*E35</f>
        <v>19.9</v>
      </c>
      <c r="I35" s="2" t="s">
        <v>141</v>
      </c>
    </row>
    <row r="36" customFormat="false" ht="16.4" hidden="false" customHeight="false" outlineLevel="0" collapsed="false">
      <c r="A36" s="0" t="s">
        <v>142</v>
      </c>
      <c r="B36" s="0" t="s">
        <v>143</v>
      </c>
      <c r="C36" s="0" t="s">
        <v>144</v>
      </c>
      <c r="D36" s="0" t="s">
        <v>145</v>
      </c>
      <c r="E36" s="0" t="n">
        <v>1</v>
      </c>
      <c r="F36" s="1" t="n">
        <v>169</v>
      </c>
      <c r="G36" s="1" t="n">
        <f aca="false">F36*E36</f>
        <v>169</v>
      </c>
      <c r="H36" s="3" t="s">
        <v>146</v>
      </c>
      <c r="I36" s="2" t="s">
        <v>147</v>
      </c>
    </row>
    <row r="37" customFormat="false" ht="15" hidden="false" customHeight="false" outlineLevel="0" collapsed="false">
      <c r="A37" s="0" t="s">
        <v>148</v>
      </c>
      <c r="C37" s="0" t="s">
        <v>149</v>
      </c>
      <c r="D37" s="0" t="s">
        <v>150</v>
      </c>
      <c r="E37" s="0" t="n">
        <v>1</v>
      </c>
      <c r="F37" s="1" t="n">
        <v>90</v>
      </c>
      <c r="G37" s="1" t="n">
        <f aca="false">F37*E37</f>
        <v>90</v>
      </c>
      <c r="H37" s="3" t="s">
        <v>151</v>
      </c>
    </row>
    <row r="38" customFormat="false" ht="16.4" hidden="false" customHeight="false" outlineLevel="0" collapsed="false">
      <c r="A38" s="0" t="s">
        <v>152</v>
      </c>
      <c r="B38" s="0" t="s">
        <v>153</v>
      </c>
      <c r="C38" s="0" t="s">
        <v>154</v>
      </c>
      <c r="E38" s="0" t="n">
        <v>1</v>
      </c>
      <c r="F38" s="1" t="n">
        <v>17.99</v>
      </c>
      <c r="G38" s="1" t="n">
        <f aca="false">F38*E38</f>
        <v>17.99</v>
      </c>
      <c r="I38" s="2" t="s">
        <v>155</v>
      </c>
    </row>
    <row r="39" customFormat="false" ht="15" hidden="false" customHeight="false" outlineLevel="0" collapsed="false">
      <c r="E39" s="0" t="s">
        <v>156</v>
      </c>
      <c r="G39" s="1" t="n">
        <f aca="false">SUM(G2:G38)</f>
        <v>802.83</v>
      </c>
    </row>
  </sheetData>
  <hyperlinks>
    <hyperlink ref="I2" r:id="rId1" display="https://www.digikey.com/en/products/detail/espressif-systems/ESP32-S3-WROOM-1U-N8R8/16162638"/>
    <hyperlink ref="I3" r:id="rId2" display="https://www.digikey.com/en/products/detail/bosch-sensortec/BMI088/8634936"/>
    <hyperlink ref="I4" r:id="rId3" display="https://www.digikey.com/en/products/detail/texas-instruments/TPS22919DCKR/10434801"/>
    <hyperlink ref="I5" r:id="rId4" display="https://www.digikey.com/en/products/detail/amphenol-cs-fci/10176546-00011LF/26473252"/>
    <hyperlink ref="I6" r:id="rId5" display="https://www.digikey.com/en/products/detail/jst-sales-america-inc/SM08B-SURS-TF/1634781"/>
    <hyperlink ref="I7" r:id="rId6" display="https://www.digikey.com/en/products/detail/microchip-technology/MCP73831T-2ACI-OT/964301"/>
    <hyperlink ref="I8" r:id="rId7" display="https://www.digikey.com/en/products/detail/texas-instruments/LM27313XMF-NOPB/1590046"/>
    <hyperlink ref="I9" r:id="rId8" display="https://www.digikey.com/en/products/detail/texas-instruments/TPS62162DSGR/2833447"/>
    <hyperlink ref="I10" r:id="rId9" display="https://www.digikey.com/en/products/detail/jst-sales-america-inc/S2B-PH-K-S/926626"/>
    <hyperlink ref="I11" r:id="rId10" display="https://www.digikey.com/en/products/detail/onsemi/MBR0520LT3G/1477142"/>
    <hyperlink ref="I12" r:id="rId11" display="https://www.digikey.com/en/products/detail/murata-electronics/GRM033R61A104ME15D/2175191"/>
    <hyperlink ref="I13" r:id="rId12" display="https://www.digikey.com/en/products/detail/murata-electronics/GRT188R61C106KE13D/5416739"/>
    <hyperlink ref="I14" r:id="rId13" display="https://www.digikey.com/en/products/detail/murata-electronics/GCM188R71E105KA64D/4903956"/>
    <hyperlink ref="I15" r:id="rId14" display="https://www.digikey.com/en/products/detail/murata-electronics/GRM188R61E475KE11D/3900465"/>
    <hyperlink ref="I17" r:id="rId15" display="https://www.digikey.com/en/products/detail/tdk/VLS6045EX-100M/5057822"/>
    <hyperlink ref="I18" r:id="rId16" display="https://www.digikey.com/en/products/detail/tdk/VLS252012ET-2R2M/2465978"/>
    <hyperlink ref="I19" r:id="rId17" display="https://www.digikey.com/en/products/detail/yageo/RC0402FR-0710KL/726523"/>
    <hyperlink ref="I20" r:id="rId18" display="https://www.digikey.com/en/products/detail/yageo/RC0402FR-071KL/726513"/>
    <hyperlink ref="I21" r:id="rId19" display="https://www.digikey.com/en/products/detail/yageo/RC0402JR-074K7L/726477"/>
    <hyperlink ref="I22" r:id="rId20" display="https://www.digikey.com/en/products/detail/yageo/RC0402FR-075K1L/726624"/>
    <hyperlink ref="I23" r:id="rId21" display="https://www.digikey.com/en/products/detail/yageo/AC0402FR-07309KL/5895272"/>
    <hyperlink ref="I24" r:id="rId22" display="https://www.digikey.com/en/products/detail/yageo/RC0402FR-07100KL/726526"/>
    <hyperlink ref="I25" r:id="rId23" display="https://www.digikey.com/en/products/detail/c-k/PTS645SH43SMTR92-LFS/1145472"/>
    <hyperlink ref="I26" r:id="rId24" display="https://www.mouser.com/en/ProductDetail/Espressif-Systems/ESP32-S3-DevKitC-1U-N8R8?qs=Li%252BoUPsLEnv4qqHEsdK%252Bbw%3D%3D"/>
    <hyperlink ref="I27" r:id="rId25" display="https://www.digikey.com/en/products/detail/te-connectivity-measurement-specialties/4525DO-DS5AI001DP/3569051 "/>
    <hyperlink ref="I28" r:id="rId26" display="https://www.digikey.com/en/products/detail/bosch-sensortec/SHUTTLE-BOARD-3-0-BMI088/14617528"/>
    <hyperlink ref="I29" r:id="rId27" display="https://www.digikey.com/en/products/detail/lightware-lidar-inc/SF20-C/15848650"/>
    <hyperlink ref="I30" r:id="rId28" display="https://www.digikey.com/en/products/detail/jst-sales-america-inc/A08SUR08SUR32W102B/9947457"/>
    <hyperlink ref="I32" r:id="rId29" display="https://www.digikey.com/en/products/detail/pulse-electronics/W1049B050/2267887"/>
    <hyperlink ref="I33" r:id="rId30" display="https://www.digikey.com/en/products/detail/adafruit-industries-llc/852/6827042"/>
    <hyperlink ref="I35" r:id="rId31" display="https://www.digikey.com/en/products/detail/adafruit-industries-llc/1781/5054543"/>
    <hyperlink ref="I36" r:id="rId32" display="https://www.digikey.com/en/products/detail/dfrobot/KIT0198-US/28531129"/>
    <hyperlink ref="I38" r:id="rId33" display="https://www.digikey.com/en/products/detail/chip-quik-inc/SMD291AXT4/8543521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2" colorId="64" zoomScale="97" zoomScaleNormal="97" zoomScalePageLayoutView="100" workbookViewId="0">
      <selection pane="topLeft" activeCell="A12" activeCellId="0" sqref="A12"/>
    </sheetView>
  </sheetViews>
  <sheetFormatPr defaultColWidth="10.14453125" defaultRowHeight="12.75" zeroHeight="false" outlineLevelRow="0" outlineLevelCol="0"/>
  <cols>
    <col collapsed="false" customWidth="true" hidden="false" outlineLevel="0" max="2" min="2" style="0" width="20.57"/>
    <col collapsed="false" customWidth="true" hidden="false" outlineLevel="0" max="3" min="3" style="0" width="21"/>
    <col collapsed="false" customWidth="true" hidden="false" outlineLevel="0" max="4" min="4" style="0" width="37.29"/>
    <col collapsed="false" customWidth="true" hidden="false" outlineLevel="0" max="7" min="7" style="0" width="23.4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157</v>
      </c>
      <c r="G1" s="0" t="s">
        <v>7</v>
      </c>
      <c r="H1" s="0" t="s">
        <v>8</v>
      </c>
      <c r="I1" s="0" t="s">
        <v>158</v>
      </c>
    </row>
    <row r="2" customFormat="false" ht="15.7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n">
        <v>1</v>
      </c>
      <c r="F2" s="0" t="n">
        <v>6.76</v>
      </c>
      <c r="H2" s="0" t="s">
        <v>13</v>
      </c>
    </row>
    <row r="3" customFormat="false" ht="15.75" hidden="false" customHeight="false" outlineLevel="0" collapsed="false">
      <c r="A3" s="0" t="s">
        <v>9</v>
      </c>
      <c r="B3" s="0" t="s">
        <v>14</v>
      </c>
      <c r="C3" s="0" t="s">
        <v>15</v>
      </c>
      <c r="D3" s="0" t="s">
        <v>16</v>
      </c>
      <c r="E3" s="0" t="n">
        <v>0</v>
      </c>
      <c r="F3" s="0" t="n">
        <v>5.92</v>
      </c>
      <c r="G3" s="0" t="s">
        <v>17</v>
      </c>
      <c r="H3" s="0" t="s">
        <v>18</v>
      </c>
      <c r="I3" s="0" t="s">
        <v>159</v>
      </c>
    </row>
    <row r="4" customFormat="false" ht="15.75" hidden="false" customHeight="false" outlineLevel="0" collapsed="false">
      <c r="A4" s="0" t="s">
        <v>9</v>
      </c>
      <c r="B4" s="0" t="s">
        <v>19</v>
      </c>
      <c r="C4" s="0" t="s">
        <v>20</v>
      </c>
      <c r="D4" s="0" t="s">
        <v>21</v>
      </c>
      <c r="E4" s="0" t="n">
        <v>10</v>
      </c>
      <c r="F4" s="0" t="n">
        <v>1.7</v>
      </c>
      <c r="G4" s="0" t="s">
        <v>22</v>
      </c>
      <c r="H4" s="0" t="s">
        <v>23</v>
      </c>
    </row>
    <row r="5" customFormat="false" ht="15.75" hidden="false" customHeight="false" outlineLevel="0" collapsed="false">
      <c r="A5" s="0" t="s">
        <v>24</v>
      </c>
      <c r="B5" s="0" t="s">
        <v>25</v>
      </c>
      <c r="C5" s="0" t="s">
        <v>26</v>
      </c>
      <c r="D5" s="0" t="s">
        <v>27</v>
      </c>
      <c r="E5" s="0" t="n">
        <v>3</v>
      </c>
      <c r="F5" s="0" t="n">
        <v>3.39</v>
      </c>
      <c r="H5" s="0" t="s">
        <v>28</v>
      </c>
    </row>
    <row r="6" customFormat="false" ht="15.75" hidden="false" customHeight="false" outlineLevel="0" collapsed="false">
      <c r="A6" s="0" t="s">
        <v>24</v>
      </c>
      <c r="B6" s="0" t="s">
        <v>29</v>
      </c>
      <c r="C6" s="0" t="s">
        <v>30</v>
      </c>
      <c r="D6" s="0" t="s">
        <v>31</v>
      </c>
      <c r="E6" s="0" t="n">
        <v>3</v>
      </c>
      <c r="F6" s="0" t="n">
        <v>3.12</v>
      </c>
      <c r="G6" s="0" t="s">
        <v>32</v>
      </c>
      <c r="H6" s="0" t="s">
        <v>33</v>
      </c>
    </row>
    <row r="7" customFormat="false" ht="15.75" hidden="false" customHeight="false" outlineLevel="0" collapsed="false">
      <c r="A7" s="0" t="s">
        <v>9</v>
      </c>
      <c r="B7" s="0" t="s">
        <v>34</v>
      </c>
      <c r="C7" s="0" t="s">
        <v>35</v>
      </c>
      <c r="D7" s="0" t="s">
        <v>36</v>
      </c>
      <c r="E7" s="0" t="n">
        <v>3</v>
      </c>
      <c r="F7" s="0" t="n">
        <v>2.28</v>
      </c>
      <c r="H7" s="0" t="s">
        <v>37</v>
      </c>
    </row>
    <row r="8" customFormat="false" ht="15.75" hidden="false" customHeight="false" outlineLevel="0" collapsed="false">
      <c r="A8" s="0" t="s">
        <v>9</v>
      </c>
      <c r="B8" s="0" t="s">
        <v>19</v>
      </c>
      <c r="C8" s="4" t="s">
        <v>38</v>
      </c>
      <c r="D8" s="3" t="s">
        <v>39</v>
      </c>
      <c r="E8" s="0" t="n">
        <v>3</v>
      </c>
      <c r="F8" s="0" t="n">
        <v>7.56</v>
      </c>
      <c r="H8" s="3" t="s">
        <v>40</v>
      </c>
    </row>
    <row r="9" customFormat="false" ht="15.75" hidden="false" customHeight="false" outlineLevel="0" collapsed="false">
      <c r="A9" s="0" t="s">
        <v>9</v>
      </c>
      <c r="B9" s="0" t="s">
        <v>19</v>
      </c>
      <c r="C9" s="0" t="s">
        <v>41</v>
      </c>
      <c r="D9" s="0" t="s">
        <v>42</v>
      </c>
      <c r="E9" s="0" t="n">
        <v>3</v>
      </c>
      <c r="F9" s="0" t="n">
        <v>5.97</v>
      </c>
      <c r="H9" s="0" t="s">
        <v>43</v>
      </c>
    </row>
    <row r="10" customFormat="false" ht="15.75" hidden="false" customHeight="false" outlineLevel="0" collapsed="false">
      <c r="A10" s="0" t="s">
        <v>24</v>
      </c>
      <c r="B10" s="0" t="s">
        <v>29</v>
      </c>
      <c r="C10" s="0" t="s">
        <v>44</v>
      </c>
      <c r="D10" s="0" t="s">
        <v>45</v>
      </c>
      <c r="E10" s="0" t="n">
        <v>3</v>
      </c>
      <c r="F10" s="0" t="n">
        <v>0.36</v>
      </c>
      <c r="G10" s="0" t="s">
        <v>46</v>
      </c>
      <c r="H10" s="0" t="s">
        <v>47</v>
      </c>
    </row>
    <row r="11" customFormat="false" ht="15.75" hidden="false" customHeight="false" outlineLevel="0" collapsed="false">
      <c r="A11" s="0" t="s">
        <v>48</v>
      </c>
      <c r="B11" s="0" t="s">
        <v>49</v>
      </c>
      <c r="C11" s="0" t="s">
        <v>50</v>
      </c>
      <c r="D11" s="0" t="s">
        <v>51</v>
      </c>
      <c r="E11" s="0" t="n">
        <v>3</v>
      </c>
      <c r="F11" s="0" t="n">
        <v>1.11</v>
      </c>
      <c r="H11" s="0" t="s">
        <v>52</v>
      </c>
    </row>
    <row r="12" customFormat="false" ht="15.75" hidden="false" customHeight="false" outlineLevel="0" collapsed="false">
      <c r="A12" s="0" t="s">
        <v>48</v>
      </c>
      <c r="B12" s="0" t="s">
        <v>53</v>
      </c>
      <c r="C12" s="0" t="s">
        <v>54</v>
      </c>
      <c r="D12" s="0" t="s">
        <v>55</v>
      </c>
      <c r="E12" s="0" t="n">
        <v>50</v>
      </c>
      <c r="F12" s="0" t="n">
        <v>0.44</v>
      </c>
      <c r="H12" s="0" t="s">
        <v>56</v>
      </c>
    </row>
    <row r="13" customFormat="false" ht="15.75" hidden="false" customHeight="false" outlineLevel="0" collapsed="false">
      <c r="A13" s="0" t="s">
        <v>48</v>
      </c>
      <c r="B13" s="0" t="s">
        <v>53</v>
      </c>
      <c r="C13" s="0" t="s">
        <v>57</v>
      </c>
      <c r="D13" s="0" t="s">
        <v>58</v>
      </c>
      <c r="E13" s="0" t="n">
        <v>10</v>
      </c>
      <c r="F13" s="0" t="n">
        <v>1.75</v>
      </c>
      <c r="H13" s="0" t="s">
        <v>59</v>
      </c>
    </row>
    <row r="14" customFormat="false" ht="15.75" hidden="false" customHeight="false" outlineLevel="0" collapsed="false">
      <c r="A14" s="0" t="s">
        <v>48</v>
      </c>
      <c r="B14" s="0" t="s">
        <v>53</v>
      </c>
      <c r="C14" s="0" t="s">
        <v>60</v>
      </c>
      <c r="D14" s="0" t="s">
        <v>61</v>
      </c>
      <c r="E14" s="0" t="n">
        <v>10</v>
      </c>
      <c r="F14" s="0" t="n">
        <v>1.09</v>
      </c>
      <c r="H14" s="0" t="s">
        <v>62</v>
      </c>
    </row>
    <row r="15" customFormat="false" ht="15.75" hidden="false" customHeight="false" outlineLevel="0" collapsed="false">
      <c r="A15" s="0" t="s">
        <v>48</v>
      </c>
      <c r="B15" s="0" t="s">
        <v>53</v>
      </c>
      <c r="C15" s="0" t="s">
        <v>63</v>
      </c>
      <c r="D15" s="0" t="s">
        <v>64</v>
      </c>
      <c r="E15" s="0" t="n">
        <v>10</v>
      </c>
      <c r="F15" s="0" t="n">
        <v>1.41</v>
      </c>
      <c r="H15" s="0" t="s">
        <v>65</v>
      </c>
    </row>
    <row r="16" customFormat="false" ht="13.8" hidden="false" customHeight="false" outlineLevel="0" collapsed="false">
      <c r="A16" s="0" t="s">
        <v>48</v>
      </c>
      <c r="D16" s="0" t="s">
        <v>66</v>
      </c>
      <c r="E16" s="0" t="n">
        <v>0</v>
      </c>
      <c r="G16" s="0" t="s">
        <v>67</v>
      </c>
    </row>
    <row r="17" customFormat="false" ht="15.75" hidden="false" customHeight="false" outlineLevel="0" collapsed="false">
      <c r="A17" s="0" t="s">
        <v>48</v>
      </c>
      <c r="B17" s="0" t="s">
        <v>68</v>
      </c>
      <c r="C17" s="0" t="s">
        <v>69</v>
      </c>
      <c r="D17" s="0" t="s">
        <v>70</v>
      </c>
      <c r="E17" s="0" t="n">
        <v>3</v>
      </c>
      <c r="F17" s="0" t="n">
        <v>1.05</v>
      </c>
      <c r="G17" s="0" t="s">
        <v>71</v>
      </c>
      <c r="H17" s="0" t="s">
        <v>72</v>
      </c>
    </row>
    <row r="18" customFormat="false" ht="15.75" hidden="false" customHeight="false" outlineLevel="0" collapsed="false">
      <c r="A18" s="0" t="s">
        <v>48</v>
      </c>
      <c r="B18" s="0" t="s">
        <v>68</v>
      </c>
      <c r="C18" s="0" t="s">
        <v>73</v>
      </c>
      <c r="D18" s="0" t="s">
        <v>74</v>
      </c>
      <c r="E18" s="0" t="n">
        <v>3</v>
      </c>
      <c r="F18" s="0" t="n">
        <v>0.84</v>
      </c>
      <c r="G18" s="0" t="s">
        <v>71</v>
      </c>
      <c r="H18" s="0" t="s">
        <v>75</v>
      </c>
    </row>
    <row r="19" customFormat="false" ht="15.75" hidden="false" customHeight="false" outlineLevel="0" collapsed="false">
      <c r="A19" s="0" t="s">
        <v>48</v>
      </c>
      <c r="B19" s="0" t="s">
        <v>76</v>
      </c>
      <c r="C19" s="0" t="s">
        <v>77</v>
      </c>
      <c r="D19" s="0" t="s">
        <v>78</v>
      </c>
      <c r="E19" s="0" t="n">
        <v>25</v>
      </c>
      <c r="F19" s="0" t="n">
        <v>0.38</v>
      </c>
      <c r="H19" s="0" t="s">
        <v>79</v>
      </c>
    </row>
    <row r="20" customFormat="false" ht="15.75" hidden="false" customHeight="false" outlineLevel="0" collapsed="false">
      <c r="A20" s="0" t="s">
        <v>48</v>
      </c>
      <c r="B20" s="0" t="s">
        <v>76</v>
      </c>
      <c r="C20" s="0" t="s">
        <v>80</v>
      </c>
      <c r="D20" s="0" t="s">
        <v>81</v>
      </c>
      <c r="E20" s="0" t="n">
        <v>25</v>
      </c>
      <c r="F20" s="0" t="n">
        <v>0.38</v>
      </c>
      <c r="H20" s="0" t="s">
        <v>82</v>
      </c>
    </row>
    <row r="21" customFormat="false" ht="15.75" hidden="false" customHeight="false" outlineLevel="0" collapsed="false">
      <c r="A21" s="0" t="s">
        <v>48</v>
      </c>
      <c r="B21" s="0" t="s">
        <v>76</v>
      </c>
      <c r="C21" s="0" t="s">
        <v>83</v>
      </c>
      <c r="D21" s="0" t="s">
        <v>84</v>
      </c>
      <c r="E21" s="0" t="n">
        <v>25</v>
      </c>
      <c r="F21" s="0" t="n">
        <v>0.36</v>
      </c>
      <c r="H21" s="0" t="s">
        <v>85</v>
      </c>
    </row>
    <row r="22" customFormat="false" ht="15.75" hidden="false" customHeight="false" outlineLevel="0" collapsed="false">
      <c r="A22" s="0" t="s">
        <v>48</v>
      </c>
      <c r="B22" s="0" t="s">
        <v>76</v>
      </c>
      <c r="C22" s="0" t="s">
        <v>86</v>
      </c>
      <c r="D22" s="0" t="s">
        <v>87</v>
      </c>
      <c r="E22" s="0" t="n">
        <v>25</v>
      </c>
      <c r="F22" s="0" t="n">
        <v>0.38</v>
      </c>
      <c r="H22" s="0" t="s">
        <v>88</v>
      </c>
    </row>
    <row r="23" customFormat="false" ht="15.75" hidden="false" customHeight="false" outlineLevel="0" collapsed="false">
      <c r="A23" s="0" t="s">
        <v>48</v>
      </c>
      <c r="B23" s="0" t="s">
        <v>76</v>
      </c>
      <c r="C23" s="0" t="s">
        <v>89</v>
      </c>
      <c r="D23" s="0" t="s">
        <v>90</v>
      </c>
      <c r="E23" s="0" t="n">
        <v>10</v>
      </c>
      <c r="F23" s="0" t="n">
        <v>0.24</v>
      </c>
      <c r="H23" s="0" t="s">
        <v>91</v>
      </c>
    </row>
    <row r="24" customFormat="false" ht="15.75" hidden="false" customHeight="false" outlineLevel="0" collapsed="false">
      <c r="A24" s="0" t="s">
        <v>48</v>
      </c>
      <c r="B24" s="0" t="s">
        <v>76</v>
      </c>
      <c r="C24" s="0" t="s">
        <v>92</v>
      </c>
      <c r="D24" s="0" t="s">
        <v>93</v>
      </c>
      <c r="E24" s="0" t="n">
        <v>10</v>
      </c>
      <c r="F24" s="0" t="n">
        <v>0.21</v>
      </c>
      <c r="H24" s="0" t="s">
        <v>94</v>
      </c>
    </row>
    <row r="25" customFormat="false" ht="15.75" hidden="false" customHeight="false" outlineLevel="0" collapsed="false">
      <c r="A25" s="0" t="s">
        <v>9</v>
      </c>
      <c r="B25" s="0" t="s">
        <v>95</v>
      </c>
      <c r="C25" s="0" t="s">
        <v>96</v>
      </c>
      <c r="D25" s="0" t="s">
        <v>97</v>
      </c>
      <c r="E25" s="0" t="n">
        <v>5</v>
      </c>
      <c r="F25" s="0" t="n">
        <v>1.95</v>
      </c>
      <c r="H25" s="0" t="s">
        <v>98</v>
      </c>
    </row>
  </sheetData>
  <hyperlinks>
    <hyperlink ref="H2" r:id="rId1" display="https://www.digikey.com/en/products/detail/espressif-systems/ESP32-S3-WROOM-1U-N8R8/16162638"/>
    <hyperlink ref="H3" r:id="rId2" display="https://www.digikey.com/en/products/detail/bosch-sensortec/BMI088/8634936"/>
    <hyperlink ref="I3" r:id="rId3" display="https://www.mouser.com/en/ProductDetail/Bosch-Sensortec/BMI088?qs=f9yNj16SXrIMFspTV6RB6Q%3D%3D"/>
    <hyperlink ref="H4" r:id="rId4" display="https://www.digikey.com/en/products/detail/texas-instruments/TPS22919DCKR/10434801"/>
    <hyperlink ref="H5" r:id="rId5" display="https://www.digikey.com/en/products/detail/amphenol-cs-fci/10176546-00011LF/26473252"/>
    <hyperlink ref="H6" r:id="rId6" display="https://www.digikey.com/en/products/detail/jst-sales-america-inc/SM08B-SURS-TF/1634781"/>
    <hyperlink ref="H7" r:id="rId7" display="https://www.digikey.com/en/products/detail/microchip-technology/MCP73831T-2ACI-OT/964301"/>
    <hyperlink ref="H8" r:id="rId8" display="https://www.digikey.com/en/products/detail/texas-instruments/LM27313XMF-NOPB/1590046"/>
    <hyperlink ref="H9" r:id="rId9" display="https://www.digikey.com/en/products/detail/texas-instruments/TPS62162DSGR/2833447"/>
    <hyperlink ref="H10" r:id="rId10" display="https://www.digikey.com/en/products/detail/jst-sales-america-inc/S2B-PH-K-S/926626"/>
    <hyperlink ref="H11" r:id="rId11" display="https://www.digikey.com/en/products/detail/onsemi/MBR0520LT3G/1477142"/>
    <hyperlink ref="H12" r:id="rId12" display="https://www.digikey.com/en/products/detail/murata-electronics/GRM033R61A104ME15D/2175191"/>
    <hyperlink ref="H13" r:id="rId13" display="https://www.digikey.com/en/products/detail/murata-electronics/GRT188R61C106KE13D/5416739"/>
    <hyperlink ref="H14" r:id="rId14" display="https://www.digikey.com/en/products/detail/murata-electronics/GCM188R71E105KA64D/4903956"/>
    <hyperlink ref="H15" r:id="rId15" display="https://www.digikey.com/en/products/detail/murata-electronics/GRM188R61E475KE11D/3900465"/>
    <hyperlink ref="H17" r:id="rId16" display="https://www.digikey.com/en/products/detail/tdk/VLS6045EX-100M/5057822"/>
    <hyperlink ref="H18" r:id="rId17" display="https://www.digikey.com/en/products/detail/tdk/VLS252012ET-2R2M/2465978"/>
    <hyperlink ref="H19" r:id="rId18" display="https://www.digikey.com/en/products/detail/yageo/RC0402FR-0710KL/726523"/>
    <hyperlink ref="H20" r:id="rId19" display="https://www.digikey.com/en/products/detail/yageo/RC0402FR-071KL/726513"/>
    <hyperlink ref="H21" r:id="rId20" display="https://www.digikey.com/en/products/detail/yageo/RC0402JR-074K7L/726477"/>
    <hyperlink ref="H22" r:id="rId21" display="https://www.digikey.com/en/products/detail/yageo/RC0402FR-075K1L/726624"/>
    <hyperlink ref="H23" r:id="rId22" display="https://www.digikey.com/en/products/detail/yageo/AC0402FR-07309KL/5895272"/>
    <hyperlink ref="H24" r:id="rId23" display="https://www.digikey.com/en/products/detail/yageo/RC0402FR-07100KL/726526"/>
    <hyperlink ref="H25" r:id="rId24" display="https://www.digikey.com/en/products/detail/c-k/PTS645SH43SMTR92-LFS/1145472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I11" activeCellId="0" sqref="I11"/>
    </sheetView>
  </sheetViews>
  <sheetFormatPr defaultColWidth="10.14453125" defaultRowHeight="12.75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22.71"/>
    <col collapsed="false" customWidth="true" hidden="false" outlineLevel="0" max="3" min="3" style="0" width="27.15"/>
    <col collapsed="false" customWidth="true" hidden="false" outlineLevel="0" max="4" min="4" style="0" width="25.14"/>
    <col collapsed="false" customWidth="true" hidden="false" outlineLevel="0" max="7" min="7" style="0" width="30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157</v>
      </c>
      <c r="G1" s="0" t="s">
        <v>7</v>
      </c>
      <c r="H1" s="0" t="s">
        <v>8</v>
      </c>
      <c r="I1" s="0" t="s">
        <v>158</v>
      </c>
    </row>
    <row r="2" customFormat="false" ht="15.75" hidden="false" customHeight="false" outlineLevel="0" collapsed="false">
      <c r="A2" s="0" t="s">
        <v>99</v>
      </c>
      <c r="B2" s="0" t="s">
        <v>10</v>
      </c>
      <c r="C2" s="0" t="s">
        <v>100</v>
      </c>
      <c r="D2" s="0" t="s">
        <v>101</v>
      </c>
      <c r="E2" s="0" t="n">
        <v>2</v>
      </c>
      <c r="F2" s="5" t="n">
        <v>15</v>
      </c>
      <c r="G2" s="3" t="s">
        <v>160</v>
      </c>
      <c r="H2" s="2" t="s">
        <v>161</v>
      </c>
      <c r="I2" s="3" t="s">
        <v>103</v>
      </c>
    </row>
    <row r="3" customFormat="false" ht="15.75" hidden="false" customHeight="false" outlineLevel="0" collapsed="false">
      <c r="A3" s="0" t="s">
        <v>104</v>
      </c>
      <c r="B3" s="0" t="s">
        <v>105</v>
      </c>
      <c r="C3" s="0" t="s">
        <v>106</v>
      </c>
      <c r="D3" s="0" t="s">
        <v>107</v>
      </c>
      <c r="E3" s="0" t="n">
        <v>1</v>
      </c>
      <c r="F3" s="6" t="n">
        <v>72.41</v>
      </c>
      <c r="G3" s="3" t="s">
        <v>108</v>
      </c>
      <c r="H3" s="2" t="s">
        <v>109</v>
      </c>
      <c r="I3" s="3" t="s">
        <v>162</v>
      </c>
    </row>
    <row r="4" customFormat="false" ht="15.75" hidden="false" customHeight="false" outlineLevel="0" collapsed="false">
      <c r="A4" s="0" t="s">
        <v>99</v>
      </c>
      <c r="B4" s="0" t="s">
        <v>14</v>
      </c>
      <c r="C4" s="0" t="s">
        <v>110</v>
      </c>
      <c r="D4" s="0" t="s">
        <v>111</v>
      </c>
      <c r="E4" s="0" t="n">
        <v>2</v>
      </c>
      <c r="F4" s="6" t="n">
        <v>32.4</v>
      </c>
      <c r="G4" s="3" t="s">
        <v>112</v>
      </c>
      <c r="H4" s="2" t="s">
        <v>113</v>
      </c>
    </row>
    <row r="5" customFormat="false" ht="13.5" hidden="false" customHeight="false" outlineLevel="0" collapsed="false">
      <c r="A5" s="0" t="s">
        <v>104</v>
      </c>
      <c r="B5" s="0" t="s">
        <v>114</v>
      </c>
      <c r="C5" s="0" t="s">
        <v>115</v>
      </c>
      <c r="D5" s="0" t="s">
        <v>116</v>
      </c>
      <c r="E5" s="0" t="n">
        <v>1</v>
      </c>
      <c r="F5" s="6" t="n">
        <v>319</v>
      </c>
      <c r="G5" s="3" t="s">
        <v>163</v>
      </c>
      <c r="H5" s="2" t="s">
        <v>164</v>
      </c>
    </row>
    <row r="6" customFormat="false" ht="15.75" hidden="false" customHeight="false" outlineLevel="0" collapsed="false">
      <c r="A6" s="0" t="s">
        <v>119</v>
      </c>
      <c r="B6" s="0" t="s">
        <v>29</v>
      </c>
      <c r="C6" s="0" t="s">
        <v>120</v>
      </c>
      <c r="D6" s="0" t="s">
        <v>121</v>
      </c>
      <c r="E6" s="0" t="n">
        <v>2</v>
      </c>
      <c r="F6" s="0" t="n">
        <v>4.26</v>
      </c>
      <c r="G6" s="0" t="s">
        <v>122</v>
      </c>
      <c r="H6" s="0" t="s">
        <v>123</v>
      </c>
    </row>
    <row r="7" customFormat="false" ht="15.75" hidden="false" customHeight="false" outlineLevel="0" collapsed="false">
      <c r="A7" s="0" t="s">
        <v>99</v>
      </c>
      <c r="B7" s="0" t="s">
        <v>114</v>
      </c>
      <c r="C7" s="4" t="s">
        <v>124</v>
      </c>
      <c r="D7" s="3" t="s">
        <v>125</v>
      </c>
      <c r="E7" s="0" t="n">
        <v>0</v>
      </c>
      <c r="G7" s="3" t="s">
        <v>67</v>
      </c>
    </row>
    <row r="8" customFormat="false" ht="15.75" hidden="false" customHeight="false" outlineLevel="0" collapsed="false">
      <c r="A8" s="0" t="s">
        <v>126</v>
      </c>
      <c r="B8" s="0" t="s">
        <v>127</v>
      </c>
      <c r="C8" s="0" t="s">
        <v>128</v>
      </c>
      <c r="D8" s="0" t="s">
        <v>129</v>
      </c>
      <c r="E8" s="0" t="n">
        <v>1</v>
      </c>
      <c r="F8" s="0" t="n">
        <v>4.49</v>
      </c>
      <c r="G8" s="0" t="s">
        <v>130</v>
      </c>
      <c r="H8" s="0" t="s">
        <v>131</v>
      </c>
    </row>
    <row r="9" customFormat="false" ht="15.75" hidden="false" customHeight="false" outlineLevel="0" collapsed="false">
      <c r="A9" s="0" t="s">
        <v>132</v>
      </c>
      <c r="B9" s="0" t="s">
        <v>133</v>
      </c>
      <c r="C9" s="0" t="n">
        <v>852</v>
      </c>
      <c r="D9" s="0" t="s">
        <v>134</v>
      </c>
      <c r="E9" s="0" t="n">
        <v>0</v>
      </c>
      <c r="G9" s="0" t="s">
        <v>67</v>
      </c>
      <c r="H9" s="0" t="s">
        <v>135</v>
      </c>
    </row>
    <row r="10" customFormat="false" ht="13.5" hidden="false" customHeight="false" outlineLevel="0" collapsed="false">
      <c r="A10" s="0" t="s">
        <v>136</v>
      </c>
      <c r="E10" s="0" t="n">
        <v>0</v>
      </c>
      <c r="G10" s="0" t="s">
        <v>67</v>
      </c>
    </row>
    <row r="11" customFormat="false" ht="15.75" hidden="false" customHeight="false" outlineLevel="0" collapsed="false">
      <c r="A11" s="0" t="s">
        <v>139</v>
      </c>
      <c r="B11" s="0" t="s">
        <v>133</v>
      </c>
      <c r="C11" s="0" t="n">
        <v>1781</v>
      </c>
      <c r="D11" s="0" t="s">
        <v>140</v>
      </c>
      <c r="E11" s="0" t="n">
        <v>2</v>
      </c>
      <c r="F11" s="0" t="n">
        <v>19.9</v>
      </c>
      <c r="H11" s="0" t="s">
        <v>141</v>
      </c>
    </row>
  </sheetData>
  <hyperlinks>
    <hyperlink ref="H2" r:id="rId1" display="https://www.digikey.com/en/products/detail/espressif-systems/ESP32-S3-DEVKITC-1U-N8R8/16162636 "/>
    <hyperlink ref="I2" r:id="rId2" display="https://www.mouser.com/en/ProductDetail/Espressif-Systems/ESP32-S3-DevKitC-1U-N8R8?qs=Li%252BoUPsLEnv4qqHEsdK%252Bbw%3D%3D"/>
    <hyperlink ref="H3" r:id="rId3" display="https://www.digikey.com/en/products/detail/te-connectivity-measurement-specialties/4525DO-DS5AI001DP/3569051 "/>
    <hyperlink ref="I3" r:id="rId4" display="https://www.mouser.com/en/ProductDetail/TE-Connectivity-Measurement-Specialties/4525DO-DS5AI001DP?qs=oFx6pF86PmDUpUCTX7loEA%3D%3D"/>
    <hyperlink ref="H4" r:id="rId5" display="https://www.digikey.com/en/products/detail/bosch-sensortec/SHUTTLE-BOARD-3-0-BMI088/14617528"/>
    <hyperlink ref="H6" r:id="rId6" display="https://www.digikey.com/en/products/detail/jst-sales-america-inc/A08SUR08SUR32W102B/9947457"/>
    <hyperlink ref="H8" r:id="rId7" display="https://www.digikey.com/en/products/detail/pulse-electronics/W1049B050/2267887"/>
    <hyperlink ref="H9" r:id="rId8" display="https://www.digikey.com/en/products/detail/adafruit-industries-llc/852/6827042"/>
    <hyperlink ref="H11" r:id="rId9" display="https://www.digikey.com/en/products/detail/adafruit-industries-llc/1781/5054543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A5" activeCellId="0" sqref="A5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25.71"/>
    <col collapsed="false" customWidth="true" hidden="false" outlineLevel="0" max="2" min="2" style="0" width="36.57"/>
    <col collapsed="false" customWidth="true" hidden="false" outlineLevel="0" max="3" min="3" style="0" width="24.86"/>
    <col collapsed="false" customWidth="true" hidden="false" outlineLevel="0" max="4" min="4" style="0" width="67"/>
    <col collapsed="false" customWidth="true" hidden="false" outlineLevel="0" max="5" min="5" style="0" width="9.14"/>
    <col collapsed="false" customWidth="true" hidden="false" outlineLevel="0" max="7" min="7" style="0" width="75.43"/>
    <col collapsed="false" customWidth="true" hidden="false" outlineLevel="0" max="8" min="8" style="0" width="71.8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157</v>
      </c>
      <c r="G1" s="0" t="s">
        <v>7</v>
      </c>
      <c r="H1" s="0" t="s">
        <v>8</v>
      </c>
    </row>
    <row r="2" customFormat="false" ht="18.75" hidden="false" customHeight="true" outlineLevel="0" collapsed="false">
      <c r="A2" s="0" t="s">
        <v>165</v>
      </c>
      <c r="B2" s="0" t="s">
        <v>10</v>
      </c>
      <c r="C2" s="0" t="s">
        <v>100</v>
      </c>
      <c r="D2" s="0" t="s">
        <v>101</v>
      </c>
      <c r="E2" s="0" t="n">
        <v>1</v>
      </c>
      <c r="F2" s="5" t="n">
        <v>15</v>
      </c>
      <c r="G2" s="3" t="s">
        <v>160</v>
      </c>
      <c r="H2" s="2" t="s">
        <v>161</v>
      </c>
    </row>
    <row r="3" customFormat="false" ht="15.75" hidden="false" customHeight="false" outlineLevel="0" collapsed="false">
      <c r="A3" s="0" t="s">
        <v>166</v>
      </c>
      <c r="B3" s="0" t="s">
        <v>105</v>
      </c>
      <c r="C3" s="0" t="s">
        <v>106</v>
      </c>
      <c r="D3" s="0" t="s">
        <v>107</v>
      </c>
      <c r="E3" s="0" t="n">
        <v>1</v>
      </c>
      <c r="F3" s="6" t="n">
        <v>72.41</v>
      </c>
      <c r="G3" s="3" t="s">
        <v>167</v>
      </c>
      <c r="H3" s="2" t="s">
        <v>109</v>
      </c>
    </row>
    <row r="4" customFormat="false" ht="15.75" hidden="false" customHeight="false" outlineLevel="0" collapsed="false">
      <c r="A4" s="0" t="s">
        <v>168</v>
      </c>
      <c r="B4" s="0" t="s">
        <v>14</v>
      </c>
      <c r="C4" s="0" t="s">
        <v>15</v>
      </c>
      <c r="D4" s="0" t="s">
        <v>169</v>
      </c>
      <c r="E4" s="0" t="n">
        <v>1</v>
      </c>
      <c r="F4" s="6" t="n">
        <v>5.92</v>
      </c>
      <c r="G4" s="3" t="s">
        <v>170</v>
      </c>
      <c r="H4" s="2" t="s">
        <v>171</v>
      </c>
    </row>
    <row r="5" customFormat="false" ht="15.75" hidden="false" customHeight="false" outlineLevel="0" collapsed="false">
      <c r="A5" s="0" t="s">
        <v>172</v>
      </c>
      <c r="B5" s="0" t="s">
        <v>114</v>
      </c>
      <c r="C5" s="0" t="s">
        <v>173</v>
      </c>
      <c r="D5" s="0" t="s">
        <v>116</v>
      </c>
      <c r="E5" s="0" t="n">
        <v>1</v>
      </c>
      <c r="F5" s="6" t="n">
        <v>299.3</v>
      </c>
      <c r="G5" s="3" t="s">
        <v>174</v>
      </c>
      <c r="H5" s="2" t="s">
        <v>175</v>
      </c>
    </row>
    <row r="6" customFormat="false" ht="16.5" hidden="false" customHeight="true" outlineLevel="0" collapsed="false">
      <c r="A6" s="0" t="s">
        <v>176</v>
      </c>
      <c r="B6" s="0" t="s">
        <v>133</v>
      </c>
      <c r="C6" s="0" t="s">
        <v>177</v>
      </c>
      <c r="D6" s="0" t="s">
        <v>178</v>
      </c>
      <c r="E6" s="0" t="n">
        <v>1</v>
      </c>
      <c r="F6" s="6" t="n">
        <v>9.95</v>
      </c>
      <c r="G6" s="3" t="s">
        <v>179</v>
      </c>
      <c r="H6" s="2" t="s">
        <v>180</v>
      </c>
    </row>
    <row r="7" customFormat="false" ht="15.75" hidden="false" customHeight="false" outlineLevel="0" collapsed="false">
      <c r="A7" s="0" t="s">
        <v>181</v>
      </c>
      <c r="B7" s="0" t="s">
        <v>133</v>
      </c>
      <c r="C7" s="0" t="s">
        <v>182</v>
      </c>
      <c r="D7" s="0" t="s">
        <v>183</v>
      </c>
      <c r="E7" s="0" t="n">
        <v>1</v>
      </c>
      <c r="F7" s="6" t="n">
        <v>19.95</v>
      </c>
      <c r="G7" s="3" t="s">
        <v>184</v>
      </c>
      <c r="H7" s="2" t="s">
        <v>185</v>
      </c>
    </row>
    <row r="8" customFormat="false" ht="15.75" hidden="false" customHeight="false" outlineLevel="0" collapsed="false">
      <c r="A8" s="0" t="s">
        <v>186</v>
      </c>
      <c r="B8" s="0" t="s">
        <v>34</v>
      </c>
      <c r="C8" s="0" t="s">
        <v>35</v>
      </c>
      <c r="D8" s="0" t="s">
        <v>187</v>
      </c>
      <c r="E8" s="0" t="n">
        <v>1</v>
      </c>
      <c r="F8" s="6" t="n">
        <v>0.76</v>
      </c>
      <c r="G8" s="3" t="s">
        <v>188</v>
      </c>
      <c r="H8" s="2" t="s">
        <v>189</v>
      </c>
    </row>
    <row r="9" customFormat="false" ht="15.75" hidden="false" customHeight="false" outlineLevel="0" collapsed="false">
      <c r="A9" s="0" t="s">
        <v>190</v>
      </c>
      <c r="B9" s="0" t="s">
        <v>19</v>
      </c>
      <c r="C9" s="0" t="s">
        <v>191</v>
      </c>
      <c r="D9" s="0" t="s">
        <v>192</v>
      </c>
      <c r="E9" s="0" t="n">
        <v>1</v>
      </c>
      <c r="F9" s="6" t="n">
        <v>0.99</v>
      </c>
      <c r="G9" s="3" t="s">
        <v>193</v>
      </c>
      <c r="H9" s="2" t="s">
        <v>194</v>
      </c>
    </row>
    <row r="10" customFormat="false" ht="15.75" hidden="false" customHeight="false" outlineLevel="0" collapsed="false">
      <c r="A10" s="0" t="s">
        <v>195</v>
      </c>
      <c r="B10" s="0" t="s">
        <v>19</v>
      </c>
      <c r="C10" s="0" t="s">
        <v>38</v>
      </c>
      <c r="D10" s="0" t="s">
        <v>196</v>
      </c>
      <c r="E10" s="0" t="n">
        <v>1</v>
      </c>
      <c r="F10" s="6" t="n">
        <v>2.42</v>
      </c>
      <c r="G10" s="3" t="s">
        <v>197</v>
      </c>
      <c r="H10" s="2" t="s">
        <v>198</v>
      </c>
    </row>
    <row r="11" customFormat="false" ht="15.75" hidden="false" customHeight="false" outlineLevel="0" collapsed="false">
      <c r="A11" s="0" t="s">
        <v>199</v>
      </c>
      <c r="B11" s="0" t="s">
        <v>200</v>
      </c>
      <c r="C11" s="0" t="s">
        <v>201</v>
      </c>
      <c r="D11" s="0" t="s">
        <v>202</v>
      </c>
      <c r="E11" s="0" t="n">
        <v>1</v>
      </c>
      <c r="F11" s="6" t="n">
        <v>1.07</v>
      </c>
      <c r="G11" s="3" t="s">
        <v>203</v>
      </c>
      <c r="H11" s="2" t="s">
        <v>204</v>
      </c>
    </row>
    <row r="12" customFormat="false" ht="15.75" hidden="false" customHeight="false" outlineLevel="0" collapsed="false">
      <c r="A12" s="0" t="s">
        <v>205</v>
      </c>
      <c r="B12" s="0" t="s">
        <v>19</v>
      </c>
      <c r="C12" s="0" t="s">
        <v>41</v>
      </c>
      <c r="D12" s="0" t="s">
        <v>206</v>
      </c>
      <c r="E12" s="0" t="n">
        <v>1</v>
      </c>
      <c r="F12" s="6" t="n">
        <v>1.86</v>
      </c>
      <c r="G12" s="3" t="s">
        <v>207</v>
      </c>
      <c r="H12" s="2" t="s">
        <v>208</v>
      </c>
    </row>
    <row r="13" customFormat="false" ht="15" hidden="false" customHeight="false" outlineLevel="0" collapsed="false">
      <c r="F13" s="5"/>
    </row>
    <row r="14" customFormat="false" ht="15" hidden="false" customHeight="false" outlineLevel="0" collapsed="false">
      <c r="A14" s="0" t="s">
        <v>209</v>
      </c>
      <c r="B14" s="5" t="n">
        <f aca="false">SUM(F2:F12)</f>
        <v>429.63</v>
      </c>
    </row>
    <row r="15" customFormat="false" ht="15" hidden="false" customHeight="false" outlineLevel="0" collapsed="false">
      <c r="A15" s="0" t="s">
        <v>210</v>
      </c>
      <c r="D15" s="6" t="n">
        <f aca="false">F2+F3+F4+F5+F6+F8+F10</f>
        <v>405.76</v>
      </c>
    </row>
  </sheetData>
  <hyperlinks>
    <hyperlink ref="H2" r:id="rId1" display="https://www.digikey.com/en/products/detail/espressif-systems/ESP32-S3-DEVKITC-1U-N8R8/16162636 "/>
    <hyperlink ref="H3" r:id="rId2" display="https://www.digikey.com/en/products/detail/te-connectivity-measurement-specialties/4525DO-DS5AI001DP/3569051 "/>
    <hyperlink ref="H4" r:id="rId3" display="https://www.digikey.com/en/products/detail/bosch-sensortec/BMI088/8634936 "/>
    <hyperlink ref="H5" r:id="rId4" display="https://www.digikey.com/en/products/detail/lightware-lidar-inc/LW20-C/15848653 "/>
    <hyperlink ref="H6" r:id="rId5" display="https://www.adafruit.com/product/1781 "/>
    <hyperlink ref="H7" r:id="rId6" display="https://www.adafruit.com/product/354 "/>
    <hyperlink ref="H8" r:id="rId7" display="https://www.digikey.com/en/products/detail/microchip-technology/MCP73831T-2ACI-OT/964301 "/>
    <hyperlink ref="H9" r:id="rId8" display="https://www.digikey.com/en/products/detail/texas-instruments/BQ21040DBVR/6036340 "/>
    <hyperlink ref="H10" r:id="rId9" display="https://www.digikey.com/en/products/detail/texas-instruments/LM27313XMF-NOPB/1590046 "/>
    <hyperlink ref="H11" r:id="rId10" display="https://www.digikey.com/en/products/detail/semtech-corporation/SC189ZSKTRT/2182360 "/>
    <hyperlink ref="H12" r:id="rId11" display="https://www.digikey.com/en/products/detail/texas-instruments/TPS62162DSGR/2833447 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2026-09-07T14:38:13Z</dcterms:created>
  <dc:creator>Christian Morell</dc:creator>
  <dc:description/>
  <dc:language>en-US</dc:language>
  <cp:lastModifiedBy/>
  <dcterms:modified xsi:type="dcterms:W3CDTF">2026-10-18T20:29:50Z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0x010100B5007DD11C948240B9D9E469636A45E7</vt:lpwstr>
  </property>
</Properties>
</file>