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uvu365-my.sharepoint.com/personal/10936209_uvu_edu/Documents/"/>
    </mc:Choice>
  </mc:AlternateContent>
  <xr:revisionPtr revIDLastSave="0" documentId="8_{F778FDEC-5006-4EBD-AFDD-8717641B95A5}" xr6:coauthVersionLast="47" xr6:coauthVersionMax="47" xr10:uidLastSave="{00000000-0000-0000-0000-000000000000}"/>
  <bookViews>
    <workbookView xWindow="0" yWindow="0" windowWidth="14400" windowHeight="15600" xr2:uid="{E0E6C378-8930-4A66-8022-FED58547481D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5" i="1" l="1"/>
  <c r="B14" i="1"/>
</calcChain>
</file>

<file path=xl/sharedStrings.xml><?xml version="1.0" encoding="utf-8"?>
<sst xmlns="http://schemas.openxmlformats.org/spreadsheetml/2006/main" count="76" uniqueCount="73">
  <si>
    <t>Category</t>
  </si>
  <si>
    <t>Manufacturer</t>
  </si>
  <si>
    <t>Part Number</t>
  </si>
  <si>
    <t>Description</t>
  </si>
  <si>
    <t>QTY</t>
  </si>
  <si>
    <t>Price</t>
  </si>
  <si>
    <t>Notes</t>
  </si>
  <si>
    <t>Source</t>
  </si>
  <si>
    <t>MCU</t>
  </si>
  <si>
    <t>Espressif Systems</t>
  </si>
  <si>
    <t>ESP32-S3-DEVKITC-1U-N8R8</t>
  </si>
  <si>
    <t>ESP32-S3 development board using ESP32-S3-WROOM-1U-N8R8; Wi-Fi + BLE</t>
  </si>
  <si>
    <t>Linked DigiKey board is the DevKitC; the module on it is ESP32-S3-WROOM-1U-N8R8.</t>
  </si>
  <si>
    <t xml:space="preserve">https://www.digikey.com/en/products/detail/espressif-systems/ESP32-S3-DEVKITC-1U-N8R8/16162636 </t>
  </si>
  <si>
    <t>Airspeed</t>
  </si>
  <si>
    <t>TE Connectivity Measurement Specialties</t>
  </si>
  <si>
    <t>4525DO-DS5AI001DP</t>
  </si>
  <si>
    <t>1 psi differential pressure sensor, 14-bit, dual 0.14 in barbed ports</t>
  </si>
  <si>
    <t>5 V supply; differential pressure; intended for pitot/static airspeed measurement.</t>
  </si>
  <si>
    <t xml:space="preserve">https://www.digikey.com/en/products/detail/te-connectivity-measurement-specialties/4525DO-DS5AI001DP/3569051 </t>
  </si>
  <si>
    <t>IMU</t>
  </si>
  <si>
    <t>Bosch Sensortec</t>
  </si>
  <si>
    <t>BMI088</t>
  </si>
  <si>
    <t>6-axis accelerometer + gyroscope IMU, I2C/SPI, 16-LGA</t>
  </si>
  <si>
    <t>Surface-mount part for final PCB; -40 C to +85 C operating range.</t>
  </si>
  <si>
    <t xml:space="preserve">https://www.digikey.com/en/products/detail/bosch-sensortec/BMI088/8634936 </t>
  </si>
  <si>
    <t>LiDAR</t>
  </si>
  <si>
    <t>LightWare LiDAR Inc.</t>
  </si>
  <si>
    <t>LW20/C</t>
  </si>
  <si>
    <t>100 m-class optical distance sensor, I2C / serial, 4.5-5.5 V</t>
  </si>
  <si>
    <t>20 cm to 100 m sensing range; about 100 mA supply per DigiKey.</t>
  </si>
  <si>
    <t xml:space="preserve">https://www.digikey.com/en/products/detail/lightware-lidar-inc/LW20-C/15848653 </t>
  </si>
  <si>
    <t>Battery Option A</t>
  </si>
  <si>
    <t>Adafruit</t>
  </si>
  <si>
    <t>Product ID 1781</t>
  </si>
  <si>
    <t>3.7 V 2200 mAh protected lithium-ion cylindrical battery with JST-PH</t>
  </si>
  <si>
    <t>Lower-cost/lower-capacity battery option.</t>
  </si>
  <si>
    <t xml:space="preserve">https://www.adafruit.com/product/1781 </t>
  </si>
  <si>
    <t>Battery Option B</t>
  </si>
  <si>
    <t>Product ID 354</t>
  </si>
  <si>
    <t>3.7 V 4400 mAh protected lithium-ion battery pack with JST connector</t>
  </si>
  <si>
    <t>Higher-capacity option; larger/heavier than 2200 mAh pack.</t>
  </si>
  <si>
    <t xml:space="preserve">https://www.adafruit.com/product/354 </t>
  </si>
  <si>
    <t>Battery Charger Option A</t>
  </si>
  <si>
    <t>Microchip Technology</t>
  </si>
  <si>
    <t>MCP73831T-2ACI/OT</t>
  </si>
  <si>
    <t>Single-cell Li-Ion/Li-Poly charger IC, programmable charge current</t>
  </si>
  <si>
    <t>4.2 V single-cell charger; up to 500 mA charge current for this part.</t>
  </si>
  <si>
    <t xml:space="preserve">https://www.digikey.com/en/products/detail/microchip-technology/MCP73831T-2ACI-OT/964301 </t>
  </si>
  <si>
    <t>Battery Charger Option B</t>
  </si>
  <si>
    <t>Texas Instruments</t>
  </si>
  <si>
    <t>BQ21040DBVR</t>
  </si>
  <si>
    <t>Single-cell Li-Ion/Li-Poly charger IC, programmable charging</t>
  </si>
  <si>
    <t>4.2 V single-cell charger; 6.45 V max supply.</t>
  </si>
  <si>
    <t xml:space="preserve">https://www.digikey.com/en/products/detail/texas-instruments/BQ21040DBVR/6036340 </t>
  </si>
  <si>
    <t>5 V Boost Regulator</t>
  </si>
  <si>
    <t>LM27313XMF/NOPB</t>
  </si>
  <si>
    <t>Adjustable boost regulator, 5 V minimum output setting, 800 mA switch</t>
  </si>
  <si>
    <t>2.7-14 V input; use external inductor/diode/capacitors per datasheet.</t>
  </si>
  <si>
    <t xml:space="preserve">https://www.digikey.com/en/products/detail/texas-instruments/LM27313XMF-NOPB/1590046 </t>
  </si>
  <si>
    <t>3.3 V Regulator Option A</t>
  </si>
  <si>
    <t>Semtech Corporation</t>
  </si>
  <si>
    <t>SC189ZSKTRT</t>
  </si>
  <si>
    <t>3.3 V fixed buck regulator, 1.5 A</t>
  </si>
  <si>
    <t>2.9-5.5 V input. Check dropout/operation near a discharged 1-cell Li-ion battery.</t>
  </si>
  <si>
    <t xml:space="preserve">https://www.digikey.com/en/products/detail/semtech-corporation/SC189ZSKTRT/2182360 </t>
  </si>
  <si>
    <t>3.3 V Regulator Option B</t>
  </si>
  <si>
    <t>TPS62162DSGR</t>
  </si>
  <si>
    <t>3.3 V fixed buck regulator, 1 A</t>
  </si>
  <si>
    <t>3-17 V input. Check operation as battery approaches 3.3 V.</t>
  </si>
  <si>
    <t xml:space="preserve">https://www.digikey.com/en/products/detail/texas-instruments/TPS62162DSGR/2833447 </t>
  </si>
  <si>
    <t>Total (including alternative)</t>
  </si>
  <si>
    <t>Core total (ESP32 + airspeed + IMU + LiDAR + LiDAR connector + 2200mAh battery + MCP73831 + LM27313)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</si>
</sst>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2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6" fontId="0" fillId="0" borderId="0" xfId="0" applyNumberFormat="1"/>
    <xf numFmtId="8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xas-instruments/BQ21040DBVR/6036340" TargetMode="External"/><Relationship Id="rId3" Type="http://schemas.openxmlformats.org/officeDocument/2006/relationships/hyperlink" Target="https://www.digikey.com/en/products/detail/espressif-systems/ESP32-S3-DEVKITC-1U-N8R8/16162636" TargetMode="External"/><Relationship Id="rId7" Type="http://schemas.openxmlformats.org/officeDocument/2006/relationships/hyperlink" Target="https://www.digikey.com/en/products/detail/texas-instruments/LM27313XMF-NOPB/1590046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te-connectivity-measurement-specialties/4525DO-DS5AI001DP/3569051" TargetMode="External"/><Relationship Id="rId1" Type="http://schemas.openxmlformats.org/officeDocument/2006/relationships/hyperlink" Target="https://www.digikey.com/en/products/detail/bosch-sensortec/BMI088/8634936" TargetMode="External"/><Relationship Id="rId6" Type="http://schemas.openxmlformats.org/officeDocument/2006/relationships/hyperlink" Target="https://www.digikey.com/en/products/detail/semtech-corporation/SC189ZSKTRT/2182360" TargetMode="External"/><Relationship Id="rId11" Type="http://schemas.openxmlformats.org/officeDocument/2006/relationships/hyperlink" Target="https://www.adafruit.com/product/1781" TargetMode="External"/><Relationship Id="rId5" Type="http://schemas.openxmlformats.org/officeDocument/2006/relationships/hyperlink" Target="https://www.digikey.com/en/products/detail/texas-instruments/TPS62162DSGR/2833447" TargetMode="External"/><Relationship Id="rId10" Type="http://schemas.openxmlformats.org/officeDocument/2006/relationships/hyperlink" Target="https://www.adafruit.com/product/354" TargetMode="External"/><Relationship Id="rId4" Type="http://schemas.openxmlformats.org/officeDocument/2006/relationships/hyperlink" Target="https://www.digikey.com/en/products/detail/lightware-lidar-inc/LW20-C/15848653" TargetMode="External"/><Relationship Id="rId9" Type="http://schemas.openxmlformats.org/officeDocument/2006/relationships/hyperlink" Target="https://www.digikey.com/en/products/detail/microchip-technology/MCP73831T-2ACI-OT/9643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73A4A-EDF5-449B-8463-1366924704C3}">
  <dimension ref="A1:H15"/>
  <sheetViews>
    <sheetView tabSelected="1" workbookViewId="0">
      <selection activeCell="B28" sqref="B28"/>
    </sheetView>
  </sheetViews>
  <sheetFormatPr defaultRowHeight="15"/>
  <cols>
    <col min="1" max="1" width="25.7109375" customWidth="1"/>
    <col min="2" max="2" width="36.5703125" customWidth="1"/>
    <col min="3" max="3" width="24.85546875" customWidth="1"/>
    <col min="4" max="4" width="67" customWidth="1"/>
    <col min="5" max="5" width="9.140625" customWidth="1"/>
    <col min="7" max="7" width="75.42578125" customWidth="1"/>
    <col min="8" max="8" width="71.8554687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t="18.75" customHeight="1">
      <c r="A2" t="s">
        <v>8</v>
      </c>
      <c r="B2" t="s">
        <v>9</v>
      </c>
      <c r="C2" t="s">
        <v>10</v>
      </c>
      <c r="D2" t="s">
        <v>11</v>
      </c>
      <c r="E2">
        <v>1</v>
      </c>
      <c r="F2" s="1">
        <v>15</v>
      </c>
      <c r="G2" t="s">
        <v>12</v>
      </c>
      <c r="H2" s="3" t="s">
        <v>13</v>
      </c>
    </row>
    <row r="3" spans="1:8">
      <c r="A3" t="s">
        <v>14</v>
      </c>
      <c r="B3" t="s">
        <v>15</v>
      </c>
      <c r="C3" t="s">
        <v>16</v>
      </c>
      <c r="D3" t="s">
        <v>17</v>
      </c>
      <c r="E3">
        <v>1</v>
      </c>
      <c r="F3" s="2">
        <v>72.41</v>
      </c>
      <c r="G3" t="s">
        <v>18</v>
      </c>
      <c r="H3" s="3" t="s">
        <v>19</v>
      </c>
    </row>
    <row r="4" spans="1:8">
      <c r="A4" t="s">
        <v>20</v>
      </c>
      <c r="B4" t="s">
        <v>21</v>
      </c>
      <c r="C4" t="s">
        <v>22</v>
      </c>
      <c r="D4" t="s">
        <v>23</v>
      </c>
      <c r="E4">
        <v>1</v>
      </c>
      <c r="F4" s="2">
        <v>5.92</v>
      </c>
      <c r="G4" t="s">
        <v>24</v>
      </c>
      <c r="H4" s="3" t="s">
        <v>25</v>
      </c>
    </row>
    <row r="5" spans="1:8">
      <c r="A5" t="s">
        <v>26</v>
      </c>
      <c r="B5" t="s">
        <v>27</v>
      </c>
      <c r="C5" t="s">
        <v>28</v>
      </c>
      <c r="D5" t="s">
        <v>29</v>
      </c>
      <c r="E5">
        <v>1</v>
      </c>
      <c r="F5" s="2">
        <v>299.3</v>
      </c>
      <c r="G5" t="s">
        <v>30</v>
      </c>
      <c r="H5" s="3" t="s">
        <v>31</v>
      </c>
    </row>
    <row r="6" spans="1:8" ht="16.5" customHeight="1">
      <c r="A6" t="s">
        <v>32</v>
      </c>
      <c r="B6" t="s">
        <v>33</v>
      </c>
      <c r="C6" t="s">
        <v>34</v>
      </c>
      <c r="D6" t="s">
        <v>35</v>
      </c>
      <c r="E6">
        <v>1</v>
      </c>
      <c r="F6" s="2">
        <v>9.9499999999999993</v>
      </c>
      <c r="G6" t="s">
        <v>36</v>
      </c>
      <c r="H6" s="3" t="s">
        <v>37</v>
      </c>
    </row>
    <row r="7" spans="1:8">
      <c r="A7" t="s">
        <v>38</v>
      </c>
      <c r="B7" t="s">
        <v>33</v>
      </c>
      <c r="C7" t="s">
        <v>39</v>
      </c>
      <c r="D7" t="s">
        <v>40</v>
      </c>
      <c r="E7">
        <v>1</v>
      </c>
      <c r="F7" s="2">
        <v>19.95</v>
      </c>
      <c r="G7" t="s">
        <v>41</v>
      </c>
      <c r="H7" s="3" t="s">
        <v>42</v>
      </c>
    </row>
    <row r="8" spans="1:8">
      <c r="A8" t="s">
        <v>43</v>
      </c>
      <c r="B8" t="s">
        <v>44</v>
      </c>
      <c r="C8" t="s">
        <v>45</v>
      </c>
      <c r="D8" t="s">
        <v>46</v>
      </c>
      <c r="E8">
        <v>1</v>
      </c>
      <c r="F8" s="2">
        <v>0.76</v>
      </c>
      <c r="G8" t="s">
        <v>47</v>
      </c>
      <c r="H8" s="3" t="s">
        <v>48</v>
      </c>
    </row>
    <row r="9" spans="1:8">
      <c r="A9" t="s">
        <v>49</v>
      </c>
      <c r="B9" t="s">
        <v>50</v>
      </c>
      <c r="C9" t="s">
        <v>51</v>
      </c>
      <c r="D9" t="s">
        <v>52</v>
      </c>
      <c r="E9">
        <v>1</v>
      </c>
      <c r="F9" s="2">
        <v>0.99</v>
      </c>
      <c r="G9" t="s">
        <v>53</v>
      </c>
      <c r="H9" s="3" t="s">
        <v>54</v>
      </c>
    </row>
    <row r="10" spans="1:8">
      <c r="A10" t="s">
        <v>55</v>
      </c>
      <c r="B10" t="s">
        <v>50</v>
      </c>
      <c r="C10" t="s">
        <v>56</v>
      </c>
      <c r="D10" t="s">
        <v>57</v>
      </c>
      <c r="E10">
        <v>1</v>
      </c>
      <c r="F10" s="2">
        <v>2.42</v>
      </c>
      <c r="G10" t="s">
        <v>58</v>
      </c>
      <c r="H10" s="3" t="s">
        <v>59</v>
      </c>
    </row>
    <row r="11" spans="1:8">
      <c r="A11" t="s">
        <v>60</v>
      </c>
      <c r="B11" t="s">
        <v>61</v>
      </c>
      <c r="C11" t="s">
        <v>62</v>
      </c>
      <c r="D11" t="s">
        <v>63</v>
      </c>
      <c r="E11">
        <v>1</v>
      </c>
      <c r="F11" s="2">
        <v>1.07</v>
      </c>
      <c r="G11" t="s">
        <v>64</v>
      </c>
      <c r="H11" s="3" t="s">
        <v>65</v>
      </c>
    </row>
    <row r="12" spans="1:8">
      <c r="A12" t="s">
        <v>66</v>
      </c>
      <c r="B12" t="s">
        <v>50</v>
      </c>
      <c r="C12" t="s">
        <v>67</v>
      </c>
      <c r="D12" t="s">
        <v>68</v>
      </c>
      <c r="E12">
        <v>1</v>
      </c>
      <c r="F12" s="2">
        <v>1.86</v>
      </c>
      <c r="G12" t="s">
        <v>69</v>
      </c>
      <c r="H12" s="3" t="s">
        <v>70</v>
      </c>
    </row>
    <row r="13" spans="1:8">
      <c r="F13" s="1"/>
    </row>
    <row r="14" spans="1:8">
      <c r="A14" t="s">
        <v>71</v>
      </c>
      <c r="B14" s="1">
        <f>SUM(F2:F12)</f>
        <v>429.63</v>
      </c>
    </row>
    <row r="15" spans="1:8">
      <c r="A15" t="s">
        <v>72</v>
      </c>
      <c r="D15" s="2">
        <f>F2+F3+F4+F5+F6+F8+F10</f>
        <v>405.76</v>
      </c>
    </row>
  </sheetData>
  <hyperlinks>
    <hyperlink ref="H4" r:id="rId1" xr:uid="{74E7E290-D8A3-44E8-A8D3-83EB0A4052CB}"/>
    <hyperlink ref="H3" r:id="rId2" xr:uid="{DC30D471-5BBA-407F-BEF2-44813441122C}"/>
    <hyperlink ref="H2" r:id="rId3" xr:uid="{0A1513CB-CCB2-41F4-A5E5-823A0AA6DA40}"/>
    <hyperlink ref="H5" r:id="rId4" xr:uid="{9F79A4C0-8665-4FEF-A1E8-CD61232FD42D}"/>
    <hyperlink ref="H12" r:id="rId5" xr:uid="{C9F61FAF-A618-4188-A624-2B19081C6AB0}"/>
    <hyperlink ref="H11" r:id="rId6" xr:uid="{128B02B7-63BA-4CA0-BACE-0DFCE7E0C409}"/>
    <hyperlink ref="H10" r:id="rId7" xr:uid="{1988F7E9-E824-4BD1-A62F-0DC5D2B409C7}"/>
    <hyperlink ref="H9" r:id="rId8" xr:uid="{99257827-62F5-43ED-A245-A526C8C971E6}"/>
    <hyperlink ref="H8" r:id="rId9" xr:uid="{B0350040-AC52-46A6-9B35-EA85377BF5F6}"/>
    <hyperlink ref="H7" r:id="rId10" xr:uid="{D4D08EB3-F211-46AB-A7A7-7CEC0ED422BE}"/>
    <hyperlink ref="H6" r:id="rId11" xr:uid="{B2C696F0-D924-421F-A8DC-43658726AC29}"/>
  </hyperlinks>
  <pageMargins left="0.7" right="0.7" top="0.75" bottom="0.75" header="0.3" footer="0.3"/>
  <pageSetup orientation="portrait" r:id="rId1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2eb6c2b-5dd7-4c52-a9ab-cef265d63bb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5007DD11C948240B9D9E469636A45E7" ma:contentTypeVersion="12" ma:contentTypeDescription="Create a new document." ma:contentTypeScope="" ma:versionID="adb94aa53ce42a9ee25a79e9bd7f5564">
  <xsd:schema xmlns:xsd="http://www.w3.org/2001/XMLSchema" xmlns:xs="http://www.w3.org/2001/XMLSchema" xmlns:p="http://schemas.microsoft.com/office/2006/metadata/properties" xmlns:ns3="b2eb6c2b-5dd7-4c52-a9ab-cef265d63bb0" targetNamespace="http://schemas.microsoft.com/office/2006/metadata/properties" ma:root="true" ma:fieldsID="519703f83fba68c018b989f7174904aa" ns3:_="">
    <xsd:import namespace="b2eb6c2b-5dd7-4c52-a9ab-cef265d63bb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Locatio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eb6c2b-5dd7-4c52-a9ab-cef265d63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FB19CFE-1C79-4E41-AC76-BFBC8D22DB9F}"/>
</file>

<file path=customXml/itemProps2.xml><?xml version="1.0" encoding="utf-8"?>
<ds:datastoreItem xmlns:ds="http://schemas.openxmlformats.org/officeDocument/2006/customXml" ds:itemID="{9EDA2B66-E37A-4C8B-8E41-1863D8307170}"/>
</file>

<file path=customXml/itemProps3.xml><?xml version="1.0" encoding="utf-8"?>
<ds:datastoreItem xmlns:ds="http://schemas.openxmlformats.org/officeDocument/2006/customXml" ds:itemID="{4FF14BDD-E644-4BF6-9489-8E70BD1B7BB6}"/>
</file>

<file path=docMetadata/LabelInfo.xml><?xml version="1.0" encoding="utf-8"?>
<clbl:labelList xmlns:clbl="http://schemas.microsoft.com/office/2020/mipLabelMetadata">
  <clbl:label id="{1ea2b65f-2f5e-440e-b025-dfdfafd8e097}" enabled="0" method="" siteId="{1ea2b65f-2f5e-440e-b025-dfdfafd8e09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Morell</dc:creator>
  <cp:keywords/>
  <dc:description/>
  <cp:lastModifiedBy/>
  <cp:revision/>
  <dcterms:created xsi:type="dcterms:W3CDTF">2026-09-07T14:38:13Z</dcterms:created>
  <dcterms:modified xsi:type="dcterms:W3CDTF">2026-09-21T16:00:31Z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0x010100B5007DD11C948240B9D9E469636A45E7</vt:lpwstr>
  </property>
</Properties>
</file>